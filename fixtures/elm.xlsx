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kutbi\Desktop\BoD\my ids\واجب\trainign on Elim\"/>
    </mc:Choice>
  </mc:AlternateContent>
  <xr:revisionPtr revIDLastSave="0" documentId="8_{2E17C122-7407-46FD-B875-73B7090274F8}" xr6:coauthVersionLast="47" xr6:coauthVersionMax="47" xr10:uidLastSave="{00000000-0000-0000-0000-000000000000}"/>
  <bookViews>
    <workbookView xWindow="-120" yWindow="-120" windowWidth="38640" windowHeight="21120" tabRatio="500" activeTab="4" xr2:uid="{00000000-000D-0000-FFFF-FFFF00000000}"/>
  </bookViews>
  <sheets>
    <sheet name="03_RAW_DATA" sheetId="1" r:id="rId1"/>
    <sheet name="04_ASSUMPTIONS" sheetId="2" r:id="rId2"/>
    <sheet name="05_ANALYSIS" sheetId="3" r:id="rId3"/>
    <sheet name="06_MODEL" sheetId="4" r:id="rId4"/>
    <sheet name="09_EXEC_RECOMMENDATION"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 i="4" l="1"/>
  <c r="C18" i="4"/>
  <c r="B18" i="4"/>
  <c r="D17" i="4"/>
  <c r="C17" i="4"/>
  <c r="B17" i="4"/>
  <c r="D16" i="4"/>
  <c r="D19" i="4" s="1"/>
  <c r="C16" i="4"/>
  <c r="C19" i="4" s="1"/>
  <c r="B16" i="4"/>
  <c r="B19" i="4" s="1"/>
  <c r="E34" i="3"/>
  <c r="D34" i="3"/>
  <c r="C34" i="3"/>
  <c r="E33" i="3"/>
  <c r="D33" i="3"/>
  <c r="C33" i="3"/>
  <c r="E32" i="3"/>
  <c r="F32" i="3" s="1"/>
  <c r="D32" i="3"/>
  <c r="C32" i="3"/>
  <c r="E31" i="3"/>
  <c r="D31" i="3"/>
  <c r="C31" i="3"/>
  <c r="E30" i="3"/>
  <c r="F30" i="3" s="1"/>
  <c r="D30" i="3"/>
  <c r="C30" i="3"/>
  <c r="E6" i="3"/>
  <c r="F6" i="3" s="1"/>
  <c r="D6" i="3"/>
  <c r="C6" i="3"/>
  <c r="E92" i="1"/>
  <c r="E93" i="1" s="1"/>
  <c r="D92" i="1"/>
  <c r="D93" i="1" s="1"/>
  <c r="E89" i="1"/>
  <c r="D89" i="1"/>
  <c r="C89" i="1"/>
  <c r="C92" i="1" s="1"/>
  <c r="C93" i="1" s="1"/>
  <c r="E77" i="1"/>
  <c r="E79" i="1" s="1"/>
  <c r="E22" i="3" s="1"/>
  <c r="D77" i="1"/>
  <c r="D79" i="1" s="1"/>
  <c r="D22" i="3" s="1"/>
  <c r="C77" i="1"/>
  <c r="C79" i="1" s="1"/>
  <c r="C22" i="3" s="1"/>
  <c r="E68" i="1"/>
  <c r="E69" i="1" s="1"/>
  <c r="D68" i="1"/>
  <c r="D69" i="1" s="1"/>
  <c r="C68" i="1"/>
  <c r="C69" i="1" s="1"/>
  <c r="E63" i="1"/>
  <c r="E64" i="1" s="1"/>
  <c r="D63" i="1"/>
  <c r="D64" i="1" s="1"/>
  <c r="C63" i="1"/>
  <c r="C64" i="1" s="1"/>
  <c r="E53" i="1"/>
  <c r="E54" i="1" s="1"/>
  <c r="D53" i="1"/>
  <c r="D54" i="1" s="1"/>
  <c r="C53" i="1"/>
  <c r="C54" i="1" s="1"/>
  <c r="E43" i="1"/>
  <c r="E44" i="1" s="1"/>
  <c r="D43" i="1"/>
  <c r="D44" i="1" s="1"/>
  <c r="C43" i="1"/>
  <c r="C44" i="1" s="1"/>
  <c r="E24" i="1"/>
  <c r="D24" i="1"/>
  <c r="C24" i="1"/>
  <c r="E15" i="1"/>
  <c r="E18" i="1" s="1"/>
  <c r="D15" i="1"/>
  <c r="D18" i="1" s="1"/>
  <c r="C15" i="1"/>
  <c r="C18" i="1" s="1"/>
  <c r="E10" i="1"/>
  <c r="D10" i="1"/>
  <c r="C10" i="1"/>
  <c r="D55" i="1" l="1"/>
  <c r="D16" i="3"/>
  <c r="D15" i="3"/>
  <c r="E16" i="3"/>
  <c r="E15" i="3"/>
  <c r="E55" i="1"/>
  <c r="C17" i="3"/>
  <c r="C70" i="1"/>
  <c r="D17" i="3"/>
  <c r="D70" i="1"/>
  <c r="C7" i="3"/>
  <c r="C25" i="1"/>
  <c r="C27" i="1" s="1"/>
  <c r="C24" i="3"/>
  <c r="E70" i="1"/>
  <c r="E17" i="3"/>
  <c r="D7" i="3"/>
  <c r="D24" i="3"/>
  <c r="D25" i="1"/>
  <c r="D27" i="1" s="1"/>
  <c r="E7" i="3"/>
  <c r="E25" i="1"/>
  <c r="E27" i="1" s="1"/>
  <c r="E24" i="3"/>
  <c r="F22" i="3"/>
  <c r="C55" i="1"/>
  <c r="C16" i="3"/>
  <c r="C15" i="3"/>
  <c r="B6" i="4" l="1"/>
  <c r="C30" i="1"/>
  <c r="C8" i="3"/>
  <c r="C9" i="3"/>
  <c r="C10" i="3"/>
  <c r="B10" i="4" s="1"/>
  <c r="C80" i="1"/>
  <c r="C81" i="1" s="1"/>
  <c r="C23" i="3"/>
  <c r="E80" i="1"/>
  <c r="E81" i="1" s="1"/>
  <c r="E23" i="3"/>
  <c r="D80" i="1"/>
  <c r="D81" i="1" s="1"/>
  <c r="D23" i="3"/>
  <c r="E29" i="3"/>
  <c r="D8" i="4"/>
  <c r="D7" i="4"/>
  <c r="C29" i="3"/>
  <c r="B7" i="4"/>
  <c r="B8" i="4"/>
  <c r="F15" i="3"/>
  <c r="E8" i="3"/>
  <c r="F8" i="3" s="1"/>
  <c r="E10" i="3"/>
  <c r="D10" i="4" s="1"/>
  <c r="E9" i="3"/>
  <c r="E30" i="1"/>
  <c r="D6" i="4"/>
  <c r="D9" i="4" s="1"/>
  <c r="D11" i="4" s="1"/>
  <c r="F7" i="3"/>
  <c r="D8" i="3"/>
  <c r="D10" i="3"/>
  <c r="C10" i="4" s="1"/>
  <c r="D9" i="3"/>
  <c r="C6" i="4"/>
  <c r="D30" i="1"/>
  <c r="C8" i="4"/>
  <c r="D29" i="3"/>
  <c r="C7" i="4"/>
  <c r="C9" i="4" l="1"/>
  <c r="C11" i="4" s="1"/>
  <c r="B9" i="4"/>
  <c r="B11" i="4" s="1"/>
</calcChain>
</file>

<file path=xl/sharedStrings.xml><?xml version="1.0" encoding="utf-8"?>
<sst xmlns="http://schemas.openxmlformats.org/spreadsheetml/2006/main" count="280" uniqueCount="222">
  <si>
    <t>03 | RAW DATA — Elm Company (شركة علم) — Consolidated Financial Statements</t>
  </si>
  <si>
    <t>All figures in SAR '000 (thousand Saudi Riyals) unless otherwise noted. Source: audited consolidated FS (BDO Dr. Mohamed Al-Amri &amp; Co.).</t>
  </si>
  <si>
    <t>FY2025 &amp; FY2024 taken from the FY2025 report (FY2024 = restated comparatives); FY2023 taken from the FY2024 report comparatives (reclassified: R&amp;D split out of cost of revenue/G&amp;A). Blue = input from PDF, black = formula.</t>
  </si>
  <si>
    <t>SECTION A — INCOME STATEMENT</t>
  </si>
  <si>
    <t>Line Item</t>
  </si>
  <si>
    <t>FY2023</t>
  </si>
  <si>
    <t>FY2024</t>
  </si>
  <si>
    <t>FY2025</t>
  </si>
  <si>
    <t>Notes</t>
  </si>
  <si>
    <t>Revenue</t>
  </si>
  <si>
    <t>Note 5</t>
  </si>
  <si>
    <t>Cost of Revenue (COGS)</t>
  </si>
  <si>
    <t>Note 6</t>
  </si>
  <si>
    <t>Gross Profit</t>
  </si>
  <si>
    <t>Research &amp; development</t>
  </si>
  <si>
    <t>Selling &amp; marketing</t>
  </si>
  <si>
    <t>Expected credit losses</t>
  </si>
  <si>
    <t>General &amp; administrative</t>
  </si>
  <si>
    <t>SG&amp;A Expenses (incl. R&amp;D and ECL)</t>
  </si>
  <si>
    <t>Sum of the four opex lines above</t>
  </si>
  <si>
    <t>Depreciation &amp; Amortization</t>
  </si>
  <si>
    <t>Impairment of non-current assets</t>
  </si>
  <si>
    <t>EBIT (Operating Income)</t>
  </si>
  <si>
    <t>Ties to 'Income from operations' in the PDF</t>
  </si>
  <si>
    <t>Interest Expense (finance costs)</t>
  </si>
  <si>
    <t>FY2025 up on new SAR 1.9bn long-term loan</t>
  </si>
  <si>
    <t>Murabaha deposit income</t>
  </si>
  <si>
    <t>Share of results of associates / JV</t>
  </si>
  <si>
    <t>Gain / (loss) on financial assets at FVTPL</t>
  </si>
  <si>
    <t>Other income, net</t>
  </si>
  <si>
    <t>Other Income (total non-operating)</t>
  </si>
  <si>
    <t>EBT (Income before Zakat)</t>
  </si>
  <si>
    <t>Zakat (income tax equivalent)</t>
  </si>
  <si>
    <t>Saudi entity — zakat, not income tax</t>
  </si>
  <si>
    <t>Net Income</t>
  </si>
  <si>
    <t xml:space="preserve">  Attributable to shareholders of the parent</t>
  </si>
  <si>
    <t xml:space="preserve">  Attributable to non-controlling interests</t>
  </si>
  <si>
    <t>Check: Net income vs PDF (should be 0)</t>
  </si>
  <si>
    <t>SECTION B — BALANCE SHEET (AT YEAR-END)</t>
  </si>
  <si>
    <t>Cash &amp; Cash Equivalents</t>
  </si>
  <si>
    <t>Note 22</t>
  </si>
  <si>
    <t>Murabaha deposits</t>
  </si>
  <si>
    <t>Short-term bank deposits</t>
  </si>
  <si>
    <t>Accounts Receivable</t>
  </si>
  <si>
    <t>Trade receivables, Note 18</t>
  </si>
  <si>
    <t>Contract assets</t>
  </si>
  <si>
    <t>Inventory</t>
  </si>
  <si>
    <t>Not reported by Elm</t>
  </si>
  <si>
    <t>Finance lease receivable – current</t>
  </si>
  <si>
    <t>Prepayments &amp; other current assets</t>
  </si>
  <si>
    <t>Other financial assets – current</t>
  </si>
  <si>
    <t>Other Current Assets</t>
  </si>
  <si>
    <t>Total Current Assets</t>
  </si>
  <si>
    <t>Property &amp; Equipment (Net)</t>
  </si>
  <si>
    <t>Note 11</t>
  </si>
  <si>
    <t>Capital work in progress</t>
  </si>
  <si>
    <t>Right-of-use assets</t>
  </si>
  <si>
    <t>Intangible assets</t>
  </si>
  <si>
    <t>Incl. goodwill; FY2025 up on acquisition (Note 40)</t>
  </si>
  <si>
    <t>Finance lease receivable – non-current</t>
  </si>
  <si>
    <t>Investments in associates &amp; JV</t>
  </si>
  <si>
    <t>Other financial assets – non-current</t>
  </si>
  <si>
    <t>Long-term prepayments</t>
  </si>
  <si>
    <t>Other Non-Current Assets</t>
  </si>
  <si>
    <t>Total Non-Current Assets</t>
  </si>
  <si>
    <t>TOTAL ASSETS</t>
  </si>
  <si>
    <t>Accounts Payable &amp; other current liabilities</t>
  </si>
  <si>
    <t>Reported as one line in the PDF</t>
  </si>
  <si>
    <t>Short-Term Debt (current portion of LT loan)</t>
  </si>
  <si>
    <t>Contract liabilities</t>
  </si>
  <si>
    <t>Zakat payable</t>
  </si>
  <si>
    <t>Lease liabilities – current</t>
  </si>
  <si>
    <t>Property purchase liability – current</t>
  </si>
  <si>
    <t>Other Current Liabilities</t>
  </si>
  <si>
    <t>Total Current Liabilities</t>
  </si>
  <si>
    <t>Long-Term Debt</t>
  </si>
  <si>
    <t>Note 29</t>
  </si>
  <si>
    <t>Lease liabilities – non-current</t>
  </si>
  <si>
    <t>Employees' end-of-service benefits</t>
  </si>
  <si>
    <t>Other Non-Current Liabilities</t>
  </si>
  <si>
    <t>Total Non-Current Liabilities</t>
  </si>
  <si>
    <t>Total Liabilities</t>
  </si>
  <si>
    <t>Share Capital</t>
  </si>
  <si>
    <t>Statutory reserve</t>
  </si>
  <si>
    <t>Transferred to retained earnings in FY2024</t>
  </si>
  <si>
    <t>Treasury shares</t>
  </si>
  <si>
    <t>Other reserves</t>
  </si>
  <si>
    <t>Retained Earnings</t>
  </si>
  <si>
    <t>FY2025 drop: SAR 3.1bn common-control acquisition adjustment (Note 40)</t>
  </si>
  <si>
    <t>Equity attributable to parent</t>
  </si>
  <si>
    <t>Non-controlling interests</t>
  </si>
  <si>
    <t>Total Equity</t>
  </si>
  <si>
    <t>TOTAL LIABILITIES &amp; EQUITY</t>
  </si>
  <si>
    <t>Balance Check (Assets − Liab. &amp; Equity)</t>
  </si>
  <si>
    <t>SECTION C — CASH FLOW SUMMARY</t>
  </si>
  <si>
    <t>Net Cash from Operating Activities</t>
  </si>
  <si>
    <t>Net Cash from Investing Activities</t>
  </si>
  <si>
    <t>FY2024 positive: murabaha deposits matured</t>
  </si>
  <si>
    <t>Net Cash from Financing Activities</t>
  </si>
  <si>
    <t>FY2025: SAR 1.9bn loan drawn</t>
  </si>
  <si>
    <t>Net Change in Cash</t>
  </si>
  <si>
    <t>Cash at beginning of year</t>
  </si>
  <si>
    <t>FX translation differences</t>
  </si>
  <si>
    <t>Cash at end of year</t>
  </si>
  <si>
    <t>Check: closing cash vs balance sheet (should be 0)</t>
  </si>
  <si>
    <t>04 | ASSUMPTIONS — Benchmarks &amp; Constants</t>
  </si>
  <si>
    <t>Benchmarks are the industry ranges given in the case template (logistics &amp; distribution). Elm is an IT / digital-services company, so treat them as reference only. Edit the blue cells to use a different peer set.</t>
  </si>
  <si>
    <t>Days in year</t>
  </si>
  <si>
    <t>Ratio</t>
  </si>
  <si>
    <t>Low</t>
  </si>
  <si>
    <t>High</t>
  </si>
  <si>
    <t>Unit</t>
  </si>
  <si>
    <t>Gross Margin</t>
  </si>
  <si>
    <t>%</t>
  </si>
  <si>
    <t>EBIT Margin</t>
  </si>
  <si>
    <t>Net Profit Margin</t>
  </si>
  <si>
    <t>Current Ratio</t>
  </si>
  <si>
    <t>x</t>
  </si>
  <si>
    <t>Debt-to-Equity</t>
  </si>
  <si>
    <t>Inventory Turnover</t>
  </si>
  <si>
    <t>DSO</t>
  </si>
  <si>
    <t>days</t>
  </si>
  <si>
    <t>05 | ANALYSIS — Ratio Suite (Build Every Formula Yourself)</t>
  </si>
  <si>
    <t>Yellow cells are yours to complete. Reference 03_RAW_DATA and 04_ASSUMPTIONS — do not hardcode results.</t>
  </si>
  <si>
    <t>SECTION 1 — PROFITABILITY RATIOS</t>
  </si>
  <si>
    <t>Definition (Guide)</t>
  </si>
  <si>
    <t>vs. Industry Benchmark</t>
  </si>
  <si>
    <t>Explanation</t>
  </si>
  <si>
    <t>Gross Profit / Revenue</t>
  </si>
  <si>
    <t>Elm keeps ~39–41 SAR of every 100 SAR of revenue after direct costs — typical of a software/digital-services model, so it sits well above the logistics range. The slight FY2025 dip means cost of revenue (+32%) grew faster than revenue (+28%).</t>
  </si>
  <si>
    <t>EBIT / Revenue</t>
  </si>
  <si>
    <t>Operating profit is a steady ~21–23% of revenue. FY2025 eased to 21.5% as G&amp;A, depreciation (new assets and acquisition) and impairments rose faster than sales. Still roughly double the top of the benchmark.</t>
  </si>
  <si>
    <t>Net Income / Revenue</t>
  </si>
  <si>
    <t>Net margin is higher than EBIT margin because murabaha deposit income and investment gains exceed finance costs, and zakat is low. FY2025 fell as interest on the new loan rose and deposit income declined.</t>
  </si>
  <si>
    <t>Return on Assets (ROA)</t>
  </si>
  <si>
    <t>Net Income / Total Assets</t>
  </si>
  <si>
    <t>— (no benchmark given)</t>
  </si>
  <si>
    <t>Each 100 SAR of assets earns ~17–19 SAR of profit. FY2025 dipped because total assets jumped 24% (new loan, acquisition, receivables) while profit grew 14%.</t>
  </si>
  <si>
    <t>Return on Equity (ROE)</t>
  </si>
  <si>
    <t>Net Income / Total Equity</t>
  </si>
  <si>
    <t>The FY2025 jump to 57.7% is NOT better performance: equity fell from SAR 5.3bn to 3.6bn after a SAR 3.1bn common-control acquisition charged to retained earnings (plus SAR 661m dividends). Smaller denominator = higher ROE.</t>
  </si>
  <si>
    <t>SECTION 2 — LIQUIDITY RATIOS</t>
  </si>
  <si>
    <t>Total Current Assets / Total Current Liabilities</t>
  </si>
  <si>
    <t>Short-term assets cover short-term liabilities 1.75–2.4 times — comfortable. The FY2025 decline reflects cash used for the acquisition and higher payables, contract liabilities and the current portion of the loan.</t>
  </si>
  <si>
    <t>Quick Ratio</t>
  </si>
  <si>
    <t>(Total Current Assets − Inventory − Contract Assets) / Total Current Liabilities</t>
  </si>
  <si>
    <t>Excludes inventory (none) and contract assets (unbilled revenue), which cannot be converted to cash until invoiced. Liquid assets still cover current liabilities ~1.5–2.2x. FY2025 falls as cash went to the acquisition while contract assets jumped 83% (SAR 0.64bn → 1.17bn), i.e. more work done but not yet billed.</t>
  </si>
  <si>
    <t>Cash Ratio</t>
  </si>
  <si>
    <t>(Cash &amp; Equivalents + Murabaha Deposits) / Total Current Liabilities</t>
  </si>
  <si>
    <t>Includes cash plus murabaha (Islamic term) deposits — the only deposit type on Elm's balance sheet. Cash and deposits alone covered all current liabilities in FY2023–FY2024 (~0.97x → 1.08x). FY2025 falls to ~0.74x because cash was used for the SAR 3.1bn acquisition and current liabilities grew 65%.</t>
  </si>
  <si>
    <t>SECTION 3 — LEVERAGE RATIOS</t>
  </si>
  <si>
    <t>(Short-Term Debt + Long-Term Debt) / Total Equity</t>
  </si>
  <si>
    <t>Elm had no bank debt in FY2023–FY2024. In FY2025 it drew SAR 1.9bn to fund the acquisition, taking D/E to 0.54x — still below the range, so leverage is moderate. Lease liabilities are excluded per the guide.</t>
  </si>
  <si>
    <t>Debt-to-Assets</t>
  </si>
  <si>
    <t>Total Liabilities / Total Assets</t>
  </si>
  <si>
    <t>Liabilities fund ~45–51% of assets until FY2025, when the new loan and lower equity push it to ~70%. Much of the liability base is non-interest-bearing (payables, contract liabilities).</t>
  </si>
  <si>
    <t>Interest Coverage</t>
  </si>
  <si>
    <t>EBIT / Interest Expense</t>
  </si>
  <si>
    <t>EBIT covers interest 19x even in FY2025 — very safe. The steep fall from 230x reflects finance costs rising from SAR 6m to SAR 106m as the company started borrowing.</t>
  </si>
  <si>
    <t>SECTION 4 — EFFICIENCY RATIOS</t>
  </si>
  <si>
    <t>Asset Turnover</t>
  </si>
  <si>
    <t>Revenue / Total Assets</t>
  </si>
  <si>
    <t>Elm generates ~0.73–0.80 SAR of revenue per SAR of assets. Low vs. an asset-heavy distributor because the balance sheet carries large cash, deposits and receivables; slowly improving.</t>
  </si>
  <si>
    <t>COGS / Inventory</t>
  </si>
  <si>
    <t>Not applicable — Elm is a services/technology company and reports no inventory.</t>
  </si>
  <si>
    <t>Receivables Turnover</t>
  </si>
  <si>
    <t>Revenue / Accounts Receivable</t>
  </si>
  <si>
    <t>Receivables are collected ~2.5–2.6 times a year — slow, reflecting a customer base dominated by government entities with long payment cycles. Slight improvement each year.</t>
  </si>
  <si>
    <t>Days Sales Outstanding (DSO)</t>
  </si>
  <si>
    <t>365 / Receivables Turnover</t>
  </si>
  <si>
    <t>It takes ~140 days on average to collect from customers — about 2.5x the benchmark. This is the main working-capital risk, though it is improving slowly (144 → 139 days).</t>
  </si>
  <si>
    <t>Days Inventory Outstanding (DIO)</t>
  </si>
  <si>
    <t>365 / Inventory Turnover</t>
  </si>
  <si>
    <t>Not applicable — no inventory.</t>
  </si>
  <si>
    <t>Days Payables Outstanding (DPO)</t>
  </si>
  <si>
    <t>365 / (COGS / Accounts Payable)</t>
  </si>
  <si>
    <t>Appears very long (207–287 days) because Elm reports trade payables together with accruals, employee costs and other current liabilities in one line. Pure supplier payment days would be much shorter.</t>
  </si>
  <si>
    <t>06 | MODEL — DuPont ROE Decomposition &amp; Cash Conversion Cycle</t>
  </si>
  <si>
    <t>DUPONT ROE DECOMPOSITION</t>
  </si>
  <si>
    <t>ROE = Net Profit Margin × Asset Turnover × Equity Multiplier</t>
  </si>
  <si>
    <t>Component</t>
  </si>
  <si>
    <t>What It Tells You (1 line)</t>
  </si>
  <si>
    <t>Net Profit Margin
(Net Income / Revenue)</t>
  </si>
  <si>
    <t>How much profit survives per SAR of revenue — high and stable (~22–25%), dipping in FY2025 on higher interest and costs.</t>
  </si>
  <si>
    <t>Asset Turnover
(Revenue / Total Assets)</t>
  </si>
  <si>
    <t>How efficiently assets generate revenue — low (&lt;1x) for a cash-rich services firm, but improving every year.</t>
  </si>
  <si>
    <t>Equity Multiplier
(Total Assets / Total Equity)</t>
  </si>
  <si>
    <t>How much of the asset base is funded by liabilities vs. equity — fell in FY2024, then jumped in FY2025 on the new loan and the SAR 3.1bn equity reduction.</t>
  </si>
  <si>
    <t>ROE (check: multiply the 3 components)</t>
  </si>
  <si>
    <t>Should match your ROE in 05_ANALYSIS — the FY2025 jump comes almost entirely from the equity multiplier, not from better margins or efficiency.</t>
  </si>
  <si>
    <t>ROE per 05_ANALYSIS</t>
  </si>
  <si>
    <t>Linked from 05_ANALYSIS.</t>
  </si>
  <si>
    <t>Check: difference (should be 0)</t>
  </si>
  <si>
    <t>If not zero, find the error before proceeding.</t>
  </si>
  <si>
    <t>CASH CONVERSION CYCLE (CCC) BRIDGE</t>
  </si>
  <si>
    <t>CCC = DSO + DIO − DPO. Pull DSO, DIO and DPO from 05_ANALYSIS.</t>
  </si>
  <si>
    <t>~140 days to collect from (mainly government) customers — the main drag on cash.</t>
  </si>
  <si>
    <t>+ Days Inventory Outstanding (DIO)</t>
  </si>
  <si>
    <t>Zero — Elm holds no inventory (05_ANALYSIS shows n/a).</t>
  </si>
  <si>
    <t>− Days Payables Outstanding (DPO)</t>
  </si>
  <si>
    <t>Overstated: the payables line includes accruals, employee costs and other current liabilities, not just suppliers.</t>
  </si>
  <si>
    <t>Cash Conversion Cycle (days)</t>
  </si>
  <si>
    <t>Negative CCC means Elm collects from customers before it pays its payables/accruals. It moved from −143 days (FY2023) to −64 (FY2024) and −81 (FY2025) — less favourable than FY2023, mainly because DPO fell. The result is flattered by the broad payables line; collections (DSO) remain the real issue.</t>
  </si>
  <si>
    <t>09 | EXECUTIVE RECOMMENDATION — Board Briefing Note</t>
  </si>
  <si>
    <t>Elm Company (شركة علم) | Prepared for: Independent Non-Executive Director (private briefing, not for management circulation)</t>
  </si>
  <si>
    <t>Figures in SAR. Sources: 03_RAW_DATA, 05_ANALYSIS, 06_MODEL and the FY2025 audited notes (Notes 5, 18, 29, 33, 35, 37, 40).</t>
  </si>
  <si>
    <t>Executive Summary (3-5 sentences — what does the director most need to know before the meeting?)</t>
  </si>
  <si>
    <t>Management's board pack will likely present a record year — revenue up 28% to SAR 9.5bn, net income up 14% to SAR 2.1bn and ROE jumping to 58% — and the core digital business genuinely is strong and cash-generative. But FY2025 was a transformational year that the headline numbers disguise: Elm paid SAR 3.39bn to its controlling shareholder (PIF) for Thiqah, a business with only SAR 264m of book net assets, funded it with the company's first-ever bank loan (SAR 1.9bn), and charged SAR 3.12bn straight to retained earnings. That accounting — not better performance — is what drives the ROE spike; on a like-for-like equity base ROE actually fell from 34.5% to about 31%, margins slipped as the lower-margin BPO segment grew, and net cash fell 41% from SAR 3.7bn to SAR 2.2bn. Meanwhile SAR 1.3bn of receivables are more than a year overdue and DSO sits near 140 days — collections, not borrowing, are the largest untapped source of cash. The director should go in focused on whether the Thiqah price is being earned, why its net assets had to be written down by SAR 311m after the interim accounts, and what discipline governs further debt-funded deals.</t>
  </si>
  <si>
    <t>What Management's Board Pack Likely Understates (top 3-5 findings, plain language)</t>
  </si>
  <si>
    <t>1. ROE of 57.7% is an accounting effect, not a performance improvement.
Because Thiqah was bought from a party under common control (PIF), the SAR 3.12bn excess over book value was charged to retained earnings instead of being recorded as goodwill. Equity fell from SAR 5.3bn to 3.6bn, and the DuPont model shows the entire ROE jump comes from the equity multiplier (1.81x → 3.28x). Net margin (24.7% → 22.1%) and ROA (19.1% → 17.6%) both declined. Adding the SAR 3.12bn back, ROE would be about 31% — below FY2024's 34.5%.</t>
  </si>
  <si>
    <t>2. Profitability is quietly diluting as the business mix shifts toward lower-margin BPO.
Gross margin fell from 40.9% to 38.9% and EBIT margin from 23.0% to 21.5%. The core Digital segment held its ~47% gross margin, but Business Process Outsourcing (which grew 43%, largely through Thiqah) saw gross margin fall from 24.0% to 18.6%. Net income is also flattered by a ~SAR 69m reversal of prior-year zakat provisions (Note 33); excluding it, net margin is about 21.4%. Part of the 28% revenue growth is acquired, not organic — the pack should split the two.</t>
  </si>
  <si>
    <t>3. The balance sheet has moved from a large net-cash position to a leveraged one in a single year.
Elm was debt-free in FY2023–FY2024. It now carries a SAR 1.97bn loan (repayable in five annual instalments from April 2026), debt-to-equity is 0.54x and liabilities fund 70% of assets (from 45%). Cash plus murabaha deposits still look healthy at SAR 4.1bn, but net of the loan they are SAR 2.2bn versus SAR 3.7bn a year earlier (−41%). Interest coverage remains safe at 19x but has fallen from 230x in two years, and the cash ratio (incl. deposits) dropped from 1.08x to 0.74x. SAR 2.4bn of capital commitments and ~SAR 660m of annual dividends compete for the same cash.</t>
  </si>
  <si>
    <t>4. A large, quantifiable cash source sits in overdue receivables.
Net receivables are SAR 3.6bn (DSO ≈139 days — roughly 2.5x a normal 50–55 day benchmark). Of the SAR 4.35bn gross balance, SAR 1.31bn (30%) is more than 365 days overdue — SAR 710m government and SAR 597m commercial — and the credit-loss allowance has risen to SAR 748m. Every 10 days of DSO is worth ~SAR 260m of cash; cutting DSO to 120 days would release ~SAR 0.5bn, and to 90 days ~SAR 1.3bn — comparable to two-thirds of the new loan. Unbilled contract assets also jumped 83% to SAR 1.17bn.</t>
  </si>
  <si>
    <t>5. The Thiqah acquisition raises related-party and control questions the pack may gloss over.
The price (SAR 3.39bn) was about 12.8x the book value of net assets acquired, paid to the controlling shareholder. After the interim accounts were published, a post-completion review cut Thiqah's acquired net assets from SAR 575m to SAR 264m (−SAR 311m, Note 40-a), mainly in intangibles, receivables, contract assets and CWIP. That suggests the pre-deal due diligence missed material issues — and the valuation paid may rest on assumptions the Board has not yet been able to test against post-acquisition results.</t>
  </si>
  <si>
    <t>Your Top 5 Questions for Management (expanded list, with the 'why this matters' for each)</t>
  </si>
  <si>
    <t>1. We paid SAR 3.39bn for Thiqah — 12.8x its book net assets — to our controlling shareholder. What revenue, EBIT and cash has Thiqah delivered since 30 April 2025 versus the business case, and when will it earn back the price?
Why it matters: With no goodwill on the balance sheet there will be no impairment test to flag underperformance. The Board must track the return on this deal explicitly, and as a related-party transaction it deserves independent scrutiny.</t>
  </si>
  <si>
    <t>2. Thiqah's net assets were revised down by SAR 311m after the interim results were published. What was missed in due diligence, who signed it off, and is any price adjustment or recourse available from the seller?
Why it matters: A 54% write-down of acquired net assets within months points to a weakness in deal diligence and financial controls that should be fixed before any further acquisition.</t>
  </si>
  <si>
    <t>3. SAR 1.3bn of receivables are over a year old and DSO is ~139 days. What is the collection plan by customer (government vs commercial), with targets and timelines, and why was a loan preferred over accelerating collections?
Why it matters: Collections are the cheapest source of funding available — every 10 days of DSO is ~SAR 260m. Rising credit-loss provisions (SAR 748m) show part of this may never be recovered.</t>
  </si>
  <si>
    <t>4. Excluding the accounting effect of the acquisition and the SAR 69m zakat reversal, margins and returns fell in FY2025. What is organic revenue growth, and what is the margin plan for the BPO segment, whose gross margin dropped from 24% to 19%?
Why it matters: The Board needs to know whether the core business is still growing at a high rate or whether the acquisition is masking a slowdown — and whether BPO will keep diluting group margins.</t>
  </si>
  <si>
    <t>5. With SAR 1.97bn of debt, SAR 380m+ annual repayments from April 2026, SAR 2.4bn of capital commitments and ~SAR 660m of dividends, what is our target capital structure and the maximum leverage we will accept for future deals?
Why it matters: Elm moved from net cash to leverage in one year. Without an agreed policy (e.g. a net debt / EBITDA ceiling), further debt-funded deals or dividend increases could erode the balance-sheet strength that underpins the business.</t>
  </si>
  <si>
    <t>Recommended Governance Position (state clearly — consistent with 08_DECISION)</t>
  </si>
  <si>
    <t>Accept the FY2025 results, but do not approve any further debt-funded acquisition, related-party transaction or dividend increase until management answers the questions above.
Specifically request: (1) a Thiqah post-acquisition performance review against the original business case, reported to the Board quarterly; (2) an independent review of the due-diligence process that led to the SAR 311m net-asset revision; (3) a receivables recovery plan with a DSO target (e.g. ≤120 days within 12 months); and (4) a Board-approved capital-structure and leverage policy before the next major capital decision.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</si>
</sst>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
    <numFmt numFmtId="166" formatCode="0.0\x"/>
    <numFmt numFmtId="167" formatCode="0&quot; days&quot;"/>
    <numFmt numFmtId="168" formatCode="0.00\x"/>
    <numFmt numFmtId="169" formatCode="0.000\x"/>
    <numFmt numFmtId="170" formatCode="0.0&quot; days&quot;"/>
    <numFmt numFmtId="171" formatCode="0.000"/>
    <numFmt numFmtId="172" formatCode="0.00%;\-0.00%;&quot;OK – 0&quot;"/>
    <numFmt numFmtId="173" formatCode="0.0"/>
    <numFmt numFmtId="174" formatCode="0.0;\(0.0\)"/>
  </numFmts>
  <fonts count="11" x14ac:knownFonts="1">
    <font>
      <sz val="11"/>
      <color theme="1"/>
      <name val="Calibri"/>
      <family val="2"/>
      <charset val="1"/>
    </font>
    <font>
      <b/>
      <sz val="14"/>
      <name val="Arial"/>
      <charset val="1"/>
    </font>
    <font>
      <i/>
      <sz val="9"/>
      <color rgb="FF595959"/>
      <name val="Arial"/>
      <charset val="1"/>
    </font>
    <font>
      <b/>
      <sz val="11"/>
      <color rgb="FFFFFFFF"/>
      <name val="Arial"/>
      <charset val="1"/>
    </font>
    <font>
      <b/>
      <sz val="10"/>
      <name val="Arial"/>
      <charset val="1"/>
    </font>
    <font>
      <sz val="10"/>
      <name val="Arial"/>
      <charset val="1"/>
    </font>
    <font>
      <sz val="10"/>
      <color rgb="FF0000FF"/>
      <name val="Arial"/>
      <charset val="1"/>
    </font>
    <font>
      <sz val="9"/>
      <color rgb="FF595959"/>
      <name val="Arial"/>
      <charset val="1"/>
    </font>
    <font>
      <i/>
      <sz val="10"/>
      <name val="Arial"/>
      <charset val="1"/>
    </font>
    <font>
      <b/>
      <sz val="11"/>
      <name val="Arial"/>
      <charset val="1"/>
    </font>
    <font>
      <sz val="10"/>
      <color rgb="FF008000"/>
      <name val="Arial"/>
      <charset val="1"/>
    </font>
  </fonts>
  <fills count="7">
    <fill>
      <patternFill patternType="none"/>
    </fill>
    <fill>
      <patternFill patternType="gray125"/>
    </fill>
    <fill>
      <patternFill patternType="solid">
        <fgColor rgb="FF1F3864"/>
        <bgColor rgb="FF333333"/>
      </patternFill>
    </fill>
    <fill>
      <patternFill patternType="solid">
        <fgColor rgb="FFD9E1F2"/>
        <bgColor rgb="FFF2F2F2"/>
      </patternFill>
    </fill>
    <fill>
      <patternFill patternType="solid">
        <fgColor rgb="FFF2F2F2"/>
        <bgColor rgb="FFFFFFFF"/>
      </patternFill>
    </fill>
    <fill>
      <patternFill patternType="solid">
        <fgColor rgb="FFFFFF00"/>
        <bgColor rgb="FFFFFF00"/>
      </patternFill>
    </fill>
    <fill>
      <patternFill patternType="solid">
        <fgColor rgb="FFFFF2CC"/>
        <bgColor rgb="FFF2F2F2"/>
      </patternFill>
    </fill>
  </fills>
  <borders count="4">
    <border>
      <left/>
      <right/>
      <top/>
      <bottom/>
      <diagonal/>
    </border>
    <border>
      <left/>
      <right/>
      <top style="thin">
        <color rgb="FF808080"/>
      </top>
      <bottom/>
      <diagonal/>
    </border>
    <border>
      <left/>
      <right/>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8">
    <xf numFmtId="0" fontId="0" fillId="0" borderId="0" xfId="0"/>
    <xf numFmtId="0" fontId="1" fillId="0" borderId="0" xfId="0" applyFont="1"/>
    <xf numFmtId="0" fontId="2" fillId="0" borderId="0" xfId="0" applyFont="1"/>
    <xf numFmtId="0" fontId="3" fillId="2" borderId="0" xfId="0" applyFont="1" applyFill="1"/>
    <xf numFmtId="0" fontId="0" fillId="2" borderId="0" xfId="0" applyFill="1"/>
    <xf numFmtId="0" fontId="4" fillId="3" borderId="0" xfId="0" applyFont="1" applyFill="1" applyAlignment="1">
      <alignment horizontal="left"/>
    </xf>
    <xf numFmtId="0" fontId="4" fillId="3" borderId="0" xfId="0" applyFont="1" applyFill="1" applyAlignment="1">
      <alignment horizontal="right"/>
    </xf>
    <xf numFmtId="0" fontId="5" fillId="0" borderId="0" xfId="0" applyFont="1"/>
    <xf numFmtId="164" fontId="6" fillId="0" borderId="0" xfId="0" applyNumberFormat="1" applyFont="1"/>
    <xf numFmtId="0" fontId="7" fillId="0" borderId="0" xfId="0" applyFont="1"/>
    <xf numFmtId="0" fontId="4" fillId="4" borderId="0" xfId="0" applyFont="1" applyFill="1"/>
    <xf numFmtId="164" fontId="4" fillId="4" borderId="1" xfId="0" applyNumberFormat="1" applyFont="1" applyFill="1" applyBorder="1"/>
    <xf numFmtId="0" fontId="0" fillId="4" borderId="0" xfId="0" applyFill="1"/>
    <xf numFmtId="0" fontId="5" fillId="0" borderId="0" xfId="0" applyFont="1" applyAlignment="1">
      <alignment indent="1"/>
    </xf>
    <xf numFmtId="164" fontId="5" fillId="0" borderId="0" xfId="0" applyNumberFormat="1" applyFont="1"/>
    <xf numFmtId="0" fontId="7" fillId="4" borderId="0" xfId="0" applyFont="1" applyFill="1"/>
    <xf numFmtId="0" fontId="6" fillId="0" borderId="0" xfId="0" applyFont="1"/>
    <xf numFmtId="0" fontId="4" fillId="3" borderId="0" xfId="0" applyFont="1" applyFill="1"/>
    <xf numFmtId="165" fontId="6" fillId="0" borderId="0" xfId="0" applyNumberFormat="1" applyFont="1"/>
    <xf numFmtId="166" fontId="6" fillId="0" borderId="0" xfId="0" applyNumberFormat="1" applyFont="1"/>
    <xf numFmtId="167" fontId="6" fillId="0" borderId="0" xfId="0" applyNumberFormat="1" applyFont="1"/>
    <xf numFmtId="0" fontId="8" fillId="0" borderId="0" xfId="0" applyFont="1"/>
    <xf numFmtId="0" fontId="9" fillId="0" borderId="0" xfId="0" applyFont="1"/>
    <xf numFmtId="0" fontId="4" fillId="3" borderId="0" xfId="0" applyFont="1" applyFill="1" applyAlignment="1">
      <alignment horizontal="center"/>
    </xf>
    <xf numFmtId="0" fontId="5" fillId="0" borderId="2" xfId="0" applyFont="1" applyBorder="1" applyAlignment="1">
      <alignment vertical="top"/>
    </xf>
    <xf numFmtId="0" fontId="5" fillId="0" borderId="2" xfId="0" applyFont="1" applyBorder="1" applyAlignment="1">
      <alignment vertical="top" wrapText="1"/>
    </xf>
    <xf numFmtId="10" fontId="5" fillId="5" borderId="2" xfId="0" applyNumberFormat="1" applyFont="1" applyFill="1" applyBorder="1" applyAlignment="1">
      <alignment horizontal="right" vertical="top"/>
    </xf>
    <xf numFmtId="168" fontId="5" fillId="5" borderId="2" xfId="0" applyNumberFormat="1" applyFont="1" applyFill="1" applyBorder="1" applyAlignment="1">
      <alignment horizontal="right" vertical="top"/>
    </xf>
    <xf numFmtId="169" fontId="5" fillId="5" borderId="2" xfId="0" applyNumberFormat="1" applyFont="1" applyFill="1" applyBorder="1" applyAlignment="1">
      <alignment horizontal="right" vertical="top"/>
    </xf>
    <xf numFmtId="170" fontId="5" fillId="5" borderId="2" xfId="0" applyNumberFormat="1" applyFont="1" applyFill="1" applyBorder="1" applyAlignment="1">
      <alignment horizontal="right" vertical="top"/>
    </xf>
    <xf numFmtId="171" fontId="5" fillId="5" borderId="2" xfId="0" applyNumberFormat="1" applyFont="1" applyFill="1" applyBorder="1" applyAlignment="1">
      <alignment horizontal="right" vertical="top"/>
    </xf>
    <xf numFmtId="0" fontId="4" fillId="0" borderId="2" xfId="0" applyFont="1" applyBorder="1" applyAlignment="1">
      <alignment vertical="top" wrapText="1"/>
    </xf>
    <xf numFmtId="10" fontId="4" fillId="4" borderId="2" xfId="0" applyNumberFormat="1" applyFont="1" applyFill="1" applyBorder="1" applyAlignment="1">
      <alignment horizontal="right" vertical="top"/>
    </xf>
    <xf numFmtId="10" fontId="10" fillId="0" borderId="2" xfId="0" applyNumberFormat="1" applyFont="1" applyBorder="1" applyAlignment="1">
      <alignment horizontal="right" vertical="top"/>
    </xf>
    <xf numFmtId="172" fontId="5" fillId="0" borderId="2" xfId="0" applyNumberFormat="1" applyFont="1" applyBorder="1" applyAlignment="1">
      <alignment horizontal="right" vertical="top"/>
    </xf>
    <xf numFmtId="173" fontId="10" fillId="5" borderId="2" xfId="0" applyNumberFormat="1" applyFont="1" applyFill="1" applyBorder="1" applyAlignment="1">
      <alignment horizontal="right" vertical="top"/>
    </xf>
    <xf numFmtId="174" fontId="4" fillId="4" borderId="2" xfId="0" applyNumberFormat="1" applyFont="1" applyFill="1" applyBorder="1" applyAlignment="1">
      <alignment horizontal="right" vertical="top"/>
    </xf>
    <xf numFmtId="0" fontId="5" fillId="6" borderId="3"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93"/>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2" customWidth="1"/>
    <col min="2" max="2" width="50" customWidth="1"/>
    <col min="3" max="5" width="14" customWidth="1"/>
    <col min="6" max="6" width="62" customWidth="1"/>
  </cols>
  <sheetData>
    <row r="1" spans="2:6" ht="16.5" customHeight="1" x14ac:dyDescent="0.25">
      <c r="B1" s="1" t="s">
        <v>0</v>
      </c>
    </row>
    <row r="2" spans="2:6" ht="15" customHeight="1" x14ac:dyDescent="0.25">
      <c r="B2" s="2" t="s">
        <v>1</v>
      </c>
    </row>
    <row r="3" spans="2:6" ht="15" customHeight="1" x14ac:dyDescent="0.25">
      <c r="B3" s="2" t="s">
        <v>2</v>
      </c>
    </row>
    <row r="6" spans="2:6" ht="15" customHeight="1" x14ac:dyDescent="0.25">
      <c r="B6" s="3" t="s">
        <v>3</v>
      </c>
      <c r="C6" s="4"/>
      <c r="D6" s="4"/>
      <c r="E6" s="4"/>
      <c r="F6" s="4"/>
    </row>
    <row r="7" spans="2:6" ht="15" customHeight="1" x14ac:dyDescent="0.25">
      <c r="B7" s="5" t="s">
        <v>4</v>
      </c>
      <c r="C7" s="6" t="s">
        <v>5</v>
      </c>
      <c r="D7" s="6" t="s">
        <v>6</v>
      </c>
      <c r="E7" s="6" t="s">
        <v>7</v>
      </c>
      <c r="F7" s="5" t="s">
        <v>8</v>
      </c>
    </row>
    <row r="8" spans="2:6" ht="15" customHeight="1" x14ac:dyDescent="0.25">
      <c r="B8" s="7" t="s">
        <v>9</v>
      </c>
      <c r="C8" s="8">
        <v>5898362.8399999999</v>
      </c>
      <c r="D8" s="8">
        <v>7406794.4019999998</v>
      </c>
      <c r="E8" s="8">
        <v>9464884.9879999999</v>
      </c>
      <c r="F8" s="9" t="s">
        <v>10</v>
      </c>
    </row>
    <row r="9" spans="2:6" ht="15" customHeight="1" x14ac:dyDescent="0.25">
      <c r="B9" s="7" t="s">
        <v>11</v>
      </c>
      <c r="C9" s="8">
        <v>3566638.5639999998</v>
      </c>
      <c r="D9" s="8">
        <v>4375702.5329999998</v>
      </c>
      <c r="E9" s="8">
        <v>5787332.79</v>
      </c>
      <c r="F9" s="9" t="s">
        <v>12</v>
      </c>
    </row>
    <row r="10" spans="2:6" ht="15" customHeight="1" x14ac:dyDescent="0.25">
      <c r="B10" s="10" t="s">
        <v>13</v>
      </c>
      <c r="C10" s="11">
        <f>C8-C9</f>
        <v>2331724.2760000001</v>
      </c>
      <c r="D10" s="11">
        <f>D8-D9</f>
        <v>3031091.8689999999</v>
      </c>
      <c r="E10" s="11">
        <f>E8-E9</f>
        <v>3677552.1979999999</v>
      </c>
      <c r="F10" s="12"/>
    </row>
    <row r="11" spans="2:6" ht="15" customHeight="1" x14ac:dyDescent="0.25">
      <c r="B11" s="13" t="s">
        <v>14</v>
      </c>
      <c r="C11" s="8">
        <v>51585.025999999998</v>
      </c>
      <c r="D11" s="8">
        <v>75532.532999999996</v>
      </c>
      <c r="E11" s="8">
        <v>105377.708</v>
      </c>
    </row>
    <row r="12" spans="2:6" ht="15" customHeight="1" x14ac:dyDescent="0.25">
      <c r="B12" s="13" t="s">
        <v>15</v>
      </c>
      <c r="C12" s="8">
        <v>278660.06900000002</v>
      </c>
      <c r="D12" s="8">
        <v>335606.44500000001</v>
      </c>
      <c r="E12" s="8">
        <v>403362.64</v>
      </c>
    </row>
    <row r="13" spans="2:6" ht="15" customHeight="1" x14ac:dyDescent="0.25">
      <c r="B13" s="13" t="s">
        <v>16</v>
      </c>
      <c r="C13" s="8">
        <v>91770.357000000004</v>
      </c>
      <c r="D13" s="8">
        <v>142748.59599999999</v>
      </c>
      <c r="E13" s="8">
        <v>105710.338</v>
      </c>
    </row>
    <row r="14" spans="2:6" ht="15" customHeight="1" x14ac:dyDescent="0.25">
      <c r="B14" s="13" t="s">
        <v>17</v>
      </c>
      <c r="C14" s="8">
        <v>433233.56</v>
      </c>
      <c r="D14" s="8">
        <v>556569.81299999997</v>
      </c>
      <c r="E14" s="8">
        <v>748519.57200000004</v>
      </c>
    </row>
    <row r="15" spans="2:6" ht="15" customHeight="1" x14ac:dyDescent="0.25">
      <c r="B15" s="7" t="s">
        <v>18</v>
      </c>
      <c r="C15" s="14">
        <f>SUM(C11:C14)</f>
        <v>855249.0120000001</v>
      </c>
      <c r="D15" s="14">
        <f>SUM(D11:D14)</f>
        <v>1110457.3870000001</v>
      </c>
      <c r="E15" s="14">
        <f>SUM(E11:E14)</f>
        <v>1362970.2579999999</v>
      </c>
      <c r="F15" s="9" t="s">
        <v>19</v>
      </c>
    </row>
    <row r="16" spans="2:6" ht="15" customHeight="1" x14ac:dyDescent="0.25">
      <c r="B16" s="7" t="s">
        <v>20</v>
      </c>
      <c r="C16" s="8">
        <v>119972.9</v>
      </c>
      <c r="D16" s="8">
        <v>198838.58199999999</v>
      </c>
      <c r="E16" s="8">
        <v>254424.318</v>
      </c>
    </row>
    <row r="17" spans="2:6" ht="15" customHeight="1" x14ac:dyDescent="0.25">
      <c r="B17" s="7" t="s">
        <v>21</v>
      </c>
      <c r="C17" s="8">
        <v>5918.692</v>
      </c>
      <c r="D17" s="8">
        <v>21343.475999999999</v>
      </c>
      <c r="E17" s="8">
        <v>30210.394</v>
      </c>
    </row>
    <row r="18" spans="2:6" ht="15" customHeight="1" x14ac:dyDescent="0.25">
      <c r="B18" s="10" t="s">
        <v>22</v>
      </c>
      <c r="C18" s="11">
        <f>C10-C15-C16-C17</f>
        <v>1350583.672</v>
      </c>
      <c r="D18" s="11">
        <f>D10-D15-D16-D17</f>
        <v>1700452.4239999999</v>
      </c>
      <c r="E18" s="11">
        <f>E10-E15-E16-E17</f>
        <v>2029947.2279999999</v>
      </c>
      <c r="F18" s="15" t="s">
        <v>23</v>
      </c>
    </row>
    <row r="19" spans="2:6" ht="15" customHeight="1" x14ac:dyDescent="0.25">
      <c r="B19" s="7" t="s">
        <v>24</v>
      </c>
      <c r="C19" s="8">
        <v>5861.2290000000003</v>
      </c>
      <c r="D19" s="8">
        <v>28447.26</v>
      </c>
      <c r="E19" s="8">
        <v>105799.38099999999</v>
      </c>
      <c r="F19" s="9" t="s">
        <v>25</v>
      </c>
    </row>
    <row r="20" spans="2:6" ht="15" customHeight="1" x14ac:dyDescent="0.25">
      <c r="B20" s="13" t="s">
        <v>26</v>
      </c>
      <c r="C20" s="8">
        <v>127856.08500000001</v>
      </c>
      <c r="D20" s="8">
        <v>145475.64199999999</v>
      </c>
      <c r="E20" s="8">
        <v>134684.755</v>
      </c>
    </row>
    <row r="21" spans="2:6" ht="15" customHeight="1" x14ac:dyDescent="0.25">
      <c r="B21" s="13" t="s">
        <v>27</v>
      </c>
      <c r="C21" s="8">
        <v>-11946.369000000001</v>
      </c>
      <c r="D21" s="8">
        <v>-1644.095</v>
      </c>
      <c r="E21" s="8">
        <v>-4461.9579999999996</v>
      </c>
    </row>
    <row r="22" spans="2:6" ht="15" customHeight="1" x14ac:dyDescent="0.25">
      <c r="B22" s="13" t="s">
        <v>28</v>
      </c>
      <c r="C22" s="8">
        <v>-15968.64</v>
      </c>
      <c r="D22" s="8">
        <v>34211.614999999998</v>
      </c>
      <c r="E22" s="8">
        <v>23692.080000000002</v>
      </c>
    </row>
    <row r="23" spans="2:6" ht="15" customHeight="1" x14ac:dyDescent="0.25">
      <c r="B23" s="13" t="s">
        <v>29</v>
      </c>
      <c r="C23" s="8">
        <v>28588.883999999998</v>
      </c>
      <c r="D23" s="8">
        <v>103820.056</v>
      </c>
      <c r="E23" s="8">
        <v>57973.148000000001</v>
      </c>
    </row>
    <row r="24" spans="2:6" ht="15" customHeight="1" x14ac:dyDescent="0.25">
      <c r="B24" s="7" t="s">
        <v>30</v>
      </c>
      <c r="C24" s="14">
        <f>SUM(C20:C23)</f>
        <v>128529.95999999999</v>
      </c>
      <c r="D24" s="14">
        <f>SUM(D20:D23)</f>
        <v>281863.21799999999</v>
      </c>
      <c r="E24" s="14">
        <f>SUM(E20:E23)</f>
        <v>211888.02500000002</v>
      </c>
    </row>
    <row r="25" spans="2:6" ht="15" customHeight="1" x14ac:dyDescent="0.25">
      <c r="B25" s="10" t="s">
        <v>31</v>
      </c>
      <c r="C25" s="11">
        <f>C18-C19+C24</f>
        <v>1473252.4029999999</v>
      </c>
      <c r="D25" s="11">
        <f>D18-D19+D24</f>
        <v>1953868.3819999998</v>
      </c>
      <c r="E25" s="11">
        <f>E18-E19+E24</f>
        <v>2136035.872</v>
      </c>
      <c r="F25" s="12"/>
    </row>
    <row r="26" spans="2:6" ht="15" customHeight="1" x14ac:dyDescent="0.25">
      <c r="B26" s="7" t="s">
        <v>32</v>
      </c>
      <c r="C26" s="8">
        <v>117057.649</v>
      </c>
      <c r="D26" s="8">
        <v>127019.914</v>
      </c>
      <c r="E26" s="8">
        <v>45710.978999999999</v>
      </c>
      <c r="F26" s="9" t="s">
        <v>33</v>
      </c>
    </row>
    <row r="27" spans="2:6" ht="15" customHeight="1" x14ac:dyDescent="0.25">
      <c r="B27" s="10" t="s">
        <v>34</v>
      </c>
      <c r="C27" s="11">
        <f>C25-C26</f>
        <v>1356194.754</v>
      </c>
      <c r="D27" s="11">
        <f>D25-D26</f>
        <v>1826848.4679999996</v>
      </c>
      <c r="E27" s="11">
        <f>E25-E26</f>
        <v>2090324.8929999999</v>
      </c>
      <c r="F27" s="12"/>
    </row>
    <row r="28" spans="2:6" ht="15" customHeight="1" x14ac:dyDescent="0.25">
      <c r="B28" s="13" t="s">
        <v>35</v>
      </c>
      <c r="C28" s="8">
        <v>1356230.754</v>
      </c>
      <c r="D28" s="8">
        <v>1826871.5859999999</v>
      </c>
      <c r="E28" s="8">
        <v>2090353.004</v>
      </c>
    </row>
    <row r="29" spans="2:6" ht="15" customHeight="1" x14ac:dyDescent="0.25">
      <c r="B29" s="13" t="s">
        <v>36</v>
      </c>
      <c r="C29" s="8">
        <v>-36</v>
      </c>
      <c r="D29" s="8">
        <v>-23.117999999999999</v>
      </c>
      <c r="E29" s="8">
        <v>-28.111000000000001</v>
      </c>
    </row>
    <row r="30" spans="2:6" ht="15" customHeight="1" x14ac:dyDescent="0.25">
      <c r="B30" s="7" t="s">
        <v>37</v>
      </c>
      <c r="C30" s="14">
        <f>ROUND(C27-C28-C29,3)</f>
        <v>0</v>
      </c>
      <c r="D30" s="14">
        <f>ROUND(D27-D28-D29,3)</f>
        <v>0</v>
      </c>
      <c r="E30" s="14">
        <f>ROUND(E27-E28-E29,3)</f>
        <v>0</v>
      </c>
    </row>
    <row r="33" spans="2:6" ht="15" customHeight="1" x14ac:dyDescent="0.25">
      <c r="B33" s="3" t="s">
        <v>38</v>
      </c>
      <c r="C33" s="4"/>
      <c r="D33" s="4"/>
      <c r="E33" s="4"/>
      <c r="F33" s="4"/>
    </row>
    <row r="34" spans="2:6" ht="15" customHeight="1" x14ac:dyDescent="0.25">
      <c r="B34" s="5" t="s">
        <v>4</v>
      </c>
      <c r="C34" s="6" t="s">
        <v>5</v>
      </c>
      <c r="D34" s="6" t="s">
        <v>6</v>
      </c>
      <c r="E34" s="6" t="s">
        <v>7</v>
      </c>
      <c r="F34" s="5" t="s">
        <v>8</v>
      </c>
    </row>
    <row r="35" spans="2:6" ht="15" customHeight="1" x14ac:dyDescent="0.25">
      <c r="B35" s="7" t="s">
        <v>39</v>
      </c>
      <c r="C35" s="8">
        <v>384394.60700000002</v>
      </c>
      <c r="D35" s="8">
        <v>2250797.179</v>
      </c>
      <c r="E35" s="8">
        <v>1836371.6780000001</v>
      </c>
      <c r="F35" s="9" t="s">
        <v>40</v>
      </c>
    </row>
    <row r="36" spans="2:6" ht="15" customHeight="1" x14ac:dyDescent="0.25">
      <c r="B36" s="7" t="s">
        <v>41</v>
      </c>
      <c r="C36" s="8">
        <v>3056113.6379999998</v>
      </c>
      <c r="D36" s="8">
        <v>1426071</v>
      </c>
      <c r="E36" s="8">
        <v>2306000</v>
      </c>
      <c r="F36" s="9" t="s">
        <v>42</v>
      </c>
    </row>
    <row r="37" spans="2:6" ht="15" customHeight="1" x14ac:dyDescent="0.25">
      <c r="B37" s="7" t="s">
        <v>43</v>
      </c>
      <c r="C37" s="8">
        <v>2322353.7009999999</v>
      </c>
      <c r="D37" s="8">
        <v>2895222.7769999998</v>
      </c>
      <c r="E37" s="8">
        <v>3606503.7829999998</v>
      </c>
      <c r="F37" s="9" t="s">
        <v>44</v>
      </c>
    </row>
    <row r="38" spans="2:6" ht="15" customHeight="1" x14ac:dyDescent="0.25">
      <c r="B38" s="7" t="s">
        <v>45</v>
      </c>
      <c r="C38" s="8">
        <v>847625.68400000001</v>
      </c>
      <c r="D38" s="8">
        <v>641667.69299999997</v>
      </c>
      <c r="E38" s="8">
        <v>1173197.325</v>
      </c>
    </row>
    <row r="39" spans="2:6" ht="15" customHeight="1" x14ac:dyDescent="0.25">
      <c r="B39" s="7" t="s">
        <v>46</v>
      </c>
      <c r="C39" s="8">
        <v>0</v>
      </c>
      <c r="D39" s="8">
        <v>0</v>
      </c>
      <c r="E39" s="8">
        <v>0</v>
      </c>
      <c r="F39" s="9" t="s">
        <v>47</v>
      </c>
    </row>
    <row r="40" spans="2:6" ht="15" customHeight="1" x14ac:dyDescent="0.25">
      <c r="B40" s="13" t="s">
        <v>48</v>
      </c>
      <c r="C40" s="8">
        <v>0</v>
      </c>
      <c r="D40" s="8">
        <v>21399.045999999998</v>
      </c>
      <c r="E40" s="8">
        <v>27584.335999999999</v>
      </c>
    </row>
    <row r="41" spans="2:6" ht="15" customHeight="1" x14ac:dyDescent="0.25">
      <c r="B41" s="13" t="s">
        <v>49</v>
      </c>
      <c r="C41" s="8">
        <v>372877.13099999999</v>
      </c>
      <c r="D41" s="8">
        <v>310748.04800000001</v>
      </c>
      <c r="E41" s="8">
        <v>447281.09</v>
      </c>
    </row>
    <row r="42" spans="2:6" ht="15" customHeight="1" x14ac:dyDescent="0.25">
      <c r="B42" s="13" t="s">
        <v>50</v>
      </c>
      <c r="C42" s="8">
        <v>18797.334999999999</v>
      </c>
      <c r="D42" s="8">
        <v>480597.58600000001</v>
      </c>
      <c r="E42" s="8">
        <v>404602.31900000002</v>
      </c>
    </row>
    <row r="43" spans="2:6" ht="15" customHeight="1" x14ac:dyDescent="0.25">
      <c r="B43" s="7" t="s">
        <v>51</v>
      </c>
      <c r="C43" s="14">
        <f>SUM(C40:C42)</f>
        <v>391674.46600000001</v>
      </c>
      <c r="D43" s="14">
        <f>SUM(D40:D42)</f>
        <v>812744.67999999993</v>
      </c>
      <c r="E43" s="14">
        <f>SUM(E40:E42)</f>
        <v>879467.74500000011</v>
      </c>
    </row>
    <row r="44" spans="2:6" ht="15" customHeight="1" x14ac:dyDescent="0.25">
      <c r="B44" s="10" t="s">
        <v>52</v>
      </c>
      <c r="C44" s="11">
        <f>C35+C36+C37+C38+C39+C43</f>
        <v>7002162.0959999999</v>
      </c>
      <c r="D44" s="11">
        <f>D35+D36+D37+D38+D39+D43</f>
        <v>8026503.3289999999</v>
      </c>
      <c r="E44" s="11">
        <f>E35+E36+E37+E38+E39+E43</f>
        <v>9801540.5309999995</v>
      </c>
      <c r="F44" s="12"/>
    </row>
    <row r="45" spans="2:6" ht="15" customHeight="1" x14ac:dyDescent="0.25">
      <c r="B45" s="7" t="s">
        <v>53</v>
      </c>
      <c r="C45" s="8">
        <v>375183.24599999998</v>
      </c>
      <c r="D45" s="8">
        <v>518080.77299999999</v>
      </c>
      <c r="E45" s="8">
        <v>689435.29</v>
      </c>
      <c r="F45" s="9" t="s">
        <v>54</v>
      </c>
    </row>
    <row r="46" spans="2:6" ht="15" customHeight="1" x14ac:dyDescent="0.25">
      <c r="B46" s="7" t="s">
        <v>55</v>
      </c>
      <c r="C46" s="8">
        <v>119813.84699999999</v>
      </c>
      <c r="D46" s="8">
        <v>51062.072999999997</v>
      </c>
      <c r="E46" s="8">
        <v>196030.64799999999</v>
      </c>
    </row>
    <row r="47" spans="2:6" ht="15" customHeight="1" x14ac:dyDescent="0.25">
      <c r="B47" s="7" t="s">
        <v>56</v>
      </c>
      <c r="C47" s="8">
        <v>230798.73699999999</v>
      </c>
      <c r="D47" s="8">
        <v>557750.10400000005</v>
      </c>
      <c r="E47" s="8">
        <v>596096.77500000002</v>
      </c>
    </row>
    <row r="48" spans="2:6" ht="15" customHeight="1" x14ac:dyDescent="0.25">
      <c r="B48" s="7" t="s">
        <v>57</v>
      </c>
      <c r="C48" s="8">
        <v>107177.789</v>
      </c>
      <c r="D48" s="8">
        <v>70612.641000000003</v>
      </c>
      <c r="E48" s="8">
        <v>251081.318</v>
      </c>
      <c r="F48" s="9" t="s">
        <v>58</v>
      </c>
    </row>
    <row r="49" spans="2:6" ht="15" customHeight="1" x14ac:dyDescent="0.25">
      <c r="B49" s="13" t="s">
        <v>59</v>
      </c>
      <c r="C49" s="8">
        <v>0</v>
      </c>
      <c r="D49" s="8">
        <v>73409.362999999998</v>
      </c>
      <c r="E49" s="8">
        <v>45470.574999999997</v>
      </c>
    </row>
    <row r="50" spans="2:6" ht="15" customHeight="1" x14ac:dyDescent="0.25">
      <c r="B50" s="13" t="s">
        <v>60</v>
      </c>
      <c r="C50" s="8">
        <v>2137.1529999999998</v>
      </c>
      <c r="D50" s="8">
        <v>6687.35</v>
      </c>
      <c r="E50" s="8">
        <v>41725.811999999998</v>
      </c>
    </row>
    <row r="51" spans="2:6" ht="15" customHeight="1" x14ac:dyDescent="0.25">
      <c r="B51" s="13" t="s">
        <v>61</v>
      </c>
      <c r="C51" s="8">
        <v>227906.32399999999</v>
      </c>
      <c r="D51" s="8">
        <v>230879.13099999999</v>
      </c>
      <c r="E51" s="8">
        <v>227597.182</v>
      </c>
    </row>
    <row r="52" spans="2:6" ht="15" customHeight="1" x14ac:dyDescent="0.25">
      <c r="B52" s="13" t="s">
        <v>62</v>
      </c>
      <c r="C52" s="8">
        <v>32033.446</v>
      </c>
      <c r="D52" s="8">
        <v>19070.246999999999</v>
      </c>
      <c r="E52" s="8">
        <v>38010.74</v>
      </c>
    </row>
    <row r="53" spans="2:6" ht="15" customHeight="1" x14ac:dyDescent="0.25">
      <c r="B53" s="7" t="s">
        <v>63</v>
      </c>
      <c r="C53" s="14">
        <f>SUM(C49:C52)</f>
        <v>262076.92299999998</v>
      </c>
      <c r="D53" s="14">
        <f>SUM(D49:D52)</f>
        <v>330046.09099999996</v>
      </c>
      <c r="E53" s="14">
        <f>SUM(E49:E52)</f>
        <v>352804.30900000001</v>
      </c>
    </row>
    <row r="54" spans="2:6" ht="15" customHeight="1" x14ac:dyDescent="0.25">
      <c r="B54" s="10" t="s">
        <v>64</v>
      </c>
      <c r="C54" s="11">
        <f>C45+C46+C47+C48+C53</f>
        <v>1095050.5419999999</v>
      </c>
      <c r="D54" s="11">
        <f>D45+D46+D47+D48+D53</f>
        <v>1527551.6820000003</v>
      </c>
      <c r="E54" s="11">
        <f>E45+E46+E47+E48+E53</f>
        <v>2085448.3399999999</v>
      </c>
      <c r="F54" s="12"/>
    </row>
    <row r="55" spans="2:6" ht="15" customHeight="1" x14ac:dyDescent="0.25">
      <c r="B55" s="10" t="s">
        <v>65</v>
      </c>
      <c r="C55" s="11">
        <f>C44+C54</f>
        <v>8097212.6380000003</v>
      </c>
      <c r="D55" s="11">
        <f>D44+D54</f>
        <v>9554055.0109999999</v>
      </c>
      <c r="E55" s="11">
        <f>E44+E54</f>
        <v>11886988.870999999</v>
      </c>
      <c r="F55" s="12"/>
    </row>
    <row r="57" spans="2:6" ht="15" customHeight="1" x14ac:dyDescent="0.25">
      <c r="B57" s="7" t="s">
        <v>66</v>
      </c>
      <c r="C57" s="8">
        <v>2805055.4240000001</v>
      </c>
      <c r="D57" s="8">
        <v>2479580.023</v>
      </c>
      <c r="E57" s="8">
        <v>3481748.449</v>
      </c>
      <c r="F57" s="9" t="s">
        <v>67</v>
      </c>
    </row>
    <row r="58" spans="2:6" ht="15" customHeight="1" x14ac:dyDescent="0.25">
      <c r="B58" s="7" t="s">
        <v>68</v>
      </c>
      <c r="C58" s="8">
        <v>0</v>
      </c>
      <c r="D58" s="8">
        <v>0</v>
      </c>
      <c r="E58" s="8">
        <v>453408.02100000001</v>
      </c>
    </row>
    <row r="59" spans="2:6" ht="15" customHeight="1" x14ac:dyDescent="0.25">
      <c r="B59" s="13" t="s">
        <v>69</v>
      </c>
      <c r="C59" s="8">
        <v>503707.39</v>
      </c>
      <c r="D59" s="8">
        <v>609806.31499999994</v>
      </c>
      <c r="E59" s="8">
        <v>1407441.4180000001</v>
      </c>
    </row>
    <row r="60" spans="2:6" ht="15" customHeight="1" x14ac:dyDescent="0.25">
      <c r="B60" s="13" t="s">
        <v>70</v>
      </c>
      <c r="C60" s="8">
        <v>183613.31899999999</v>
      </c>
      <c r="D60" s="8">
        <v>218172.52499999999</v>
      </c>
      <c r="E60" s="8">
        <v>153260.92000000001</v>
      </c>
    </row>
    <row r="61" spans="2:6" ht="15" customHeight="1" x14ac:dyDescent="0.25">
      <c r="B61" s="13" t="s">
        <v>71</v>
      </c>
      <c r="C61" s="8">
        <v>11988.772000000001</v>
      </c>
      <c r="D61" s="8">
        <v>85001.803</v>
      </c>
      <c r="E61" s="8">
        <v>109730.213</v>
      </c>
    </row>
    <row r="62" spans="2:6" ht="15" customHeight="1" x14ac:dyDescent="0.25">
      <c r="B62" s="13" t="s">
        <v>72</v>
      </c>
      <c r="C62" s="8">
        <v>25396.062999999998</v>
      </c>
      <c r="D62" s="8">
        <v>0</v>
      </c>
      <c r="E62" s="8">
        <v>0</v>
      </c>
    </row>
    <row r="63" spans="2:6" ht="15" customHeight="1" x14ac:dyDescent="0.25">
      <c r="B63" s="7" t="s">
        <v>73</v>
      </c>
      <c r="C63" s="14">
        <f>SUM(C59:C62)</f>
        <v>724705.54399999999</v>
      </c>
      <c r="D63" s="14">
        <f>SUM(D59:D62)</f>
        <v>912980.64299999992</v>
      </c>
      <c r="E63" s="14">
        <f>SUM(E59:E62)</f>
        <v>1670432.551</v>
      </c>
    </row>
    <row r="64" spans="2:6" ht="15" customHeight="1" x14ac:dyDescent="0.25">
      <c r="B64" s="10" t="s">
        <v>74</v>
      </c>
      <c r="C64" s="11">
        <f>C57+C58+C63</f>
        <v>3529760.9680000003</v>
      </c>
      <c r="D64" s="11">
        <f>D57+D58+D63</f>
        <v>3392560.6660000002</v>
      </c>
      <c r="E64" s="11">
        <f>E57+E58+E63</f>
        <v>5605589.0209999997</v>
      </c>
      <c r="F64" s="12"/>
    </row>
    <row r="65" spans="2:6" ht="15" customHeight="1" x14ac:dyDescent="0.25">
      <c r="B65" s="7" t="s">
        <v>75</v>
      </c>
      <c r="C65" s="8">
        <v>0</v>
      </c>
      <c r="D65" s="8">
        <v>0</v>
      </c>
      <c r="E65" s="8">
        <v>1520000</v>
      </c>
      <c r="F65" s="9" t="s">
        <v>76</v>
      </c>
    </row>
    <row r="66" spans="2:6" ht="15" customHeight="1" x14ac:dyDescent="0.25">
      <c r="B66" s="13" t="s">
        <v>77</v>
      </c>
      <c r="C66" s="8">
        <v>212090.68900000001</v>
      </c>
      <c r="D66" s="8">
        <v>481013.08</v>
      </c>
      <c r="E66" s="8">
        <v>543749.06799999997</v>
      </c>
    </row>
    <row r="67" spans="2:6" ht="15" customHeight="1" x14ac:dyDescent="0.25">
      <c r="B67" s="13" t="s">
        <v>78</v>
      </c>
      <c r="C67" s="8">
        <v>360689.12699999998</v>
      </c>
      <c r="D67" s="8">
        <v>387235.68900000001</v>
      </c>
      <c r="E67" s="8">
        <v>596341.93200000003</v>
      </c>
    </row>
    <row r="68" spans="2:6" ht="15" customHeight="1" x14ac:dyDescent="0.25">
      <c r="B68" s="7" t="s">
        <v>79</v>
      </c>
      <c r="C68" s="14">
        <f>SUM(C66:C67)</f>
        <v>572779.81599999999</v>
      </c>
      <c r="D68" s="14">
        <f>SUM(D66:D67)</f>
        <v>868248.76900000009</v>
      </c>
      <c r="E68" s="14">
        <f>SUM(E66:E67)</f>
        <v>1140091</v>
      </c>
    </row>
    <row r="69" spans="2:6" ht="15" customHeight="1" x14ac:dyDescent="0.25">
      <c r="B69" s="10" t="s">
        <v>80</v>
      </c>
      <c r="C69" s="11">
        <f>C65+C68</f>
        <v>572779.81599999999</v>
      </c>
      <c r="D69" s="11">
        <f>D65+D68</f>
        <v>868248.76900000009</v>
      </c>
      <c r="E69" s="11">
        <f>E65+E68</f>
        <v>2660091</v>
      </c>
      <c r="F69" s="12"/>
    </row>
    <row r="70" spans="2:6" ht="15" customHeight="1" x14ac:dyDescent="0.25">
      <c r="B70" s="10" t="s">
        <v>81</v>
      </c>
      <c r="C70" s="11">
        <f>C64+C69</f>
        <v>4102540.7840000005</v>
      </c>
      <c r="D70" s="11">
        <f>D64+D69</f>
        <v>4260809.4350000005</v>
      </c>
      <c r="E70" s="11">
        <f>E64+E69</f>
        <v>8265680.0209999997</v>
      </c>
      <c r="F70" s="12"/>
    </row>
    <row r="72" spans="2:6" ht="15" customHeight="1" x14ac:dyDescent="0.25">
      <c r="B72" s="7" t="s">
        <v>82</v>
      </c>
      <c r="C72" s="8">
        <v>800000</v>
      </c>
      <c r="D72" s="8">
        <v>800000</v>
      </c>
      <c r="E72" s="8">
        <v>800000</v>
      </c>
    </row>
    <row r="73" spans="2:6" ht="15" customHeight="1" x14ac:dyDescent="0.25">
      <c r="B73" s="7" t="s">
        <v>83</v>
      </c>
      <c r="C73" s="8">
        <v>174708.101</v>
      </c>
      <c r="D73" s="8">
        <v>0</v>
      </c>
      <c r="E73" s="8">
        <v>0</v>
      </c>
      <c r="F73" s="9" t="s">
        <v>84</v>
      </c>
    </row>
    <row r="74" spans="2:6" ht="15" customHeight="1" x14ac:dyDescent="0.25">
      <c r="B74" s="7" t="s">
        <v>85</v>
      </c>
      <c r="C74" s="8">
        <v>-294758.40000000002</v>
      </c>
      <c r="D74" s="8">
        <v>-293112.576</v>
      </c>
      <c r="E74" s="8">
        <v>-273857.28000000003</v>
      </c>
    </row>
    <row r="75" spans="2:6" ht="15" customHeight="1" x14ac:dyDescent="0.25">
      <c r="B75" s="7" t="s">
        <v>86</v>
      </c>
      <c r="C75" s="8">
        <v>12826.477999999999</v>
      </c>
      <c r="D75" s="8">
        <v>60669.508000000002</v>
      </c>
      <c r="E75" s="8">
        <v>32931.752999999997</v>
      </c>
    </row>
    <row r="76" spans="2:6" ht="15" customHeight="1" x14ac:dyDescent="0.25">
      <c r="B76" s="7" t="s">
        <v>87</v>
      </c>
      <c r="C76" s="8">
        <v>3301731.6749999998</v>
      </c>
      <c r="D76" s="8">
        <v>4725547.7620000001</v>
      </c>
      <c r="E76" s="8">
        <v>3062121.6060000001</v>
      </c>
      <c r="F76" s="9" t="s">
        <v>88</v>
      </c>
    </row>
    <row r="77" spans="2:6" ht="15" customHeight="1" x14ac:dyDescent="0.25">
      <c r="B77" s="7" t="s">
        <v>89</v>
      </c>
      <c r="C77" s="14">
        <f>SUM(C72:C76)</f>
        <v>3994507.8539999998</v>
      </c>
      <c r="D77" s="14">
        <f>SUM(D72:D76)</f>
        <v>5293104.6940000001</v>
      </c>
      <c r="E77" s="14">
        <f>SUM(E72:E76)</f>
        <v>3621196.0789999999</v>
      </c>
    </row>
    <row r="78" spans="2:6" ht="15" customHeight="1" x14ac:dyDescent="0.25">
      <c r="B78" s="7" t="s">
        <v>90</v>
      </c>
      <c r="C78" s="8">
        <v>164</v>
      </c>
      <c r="D78" s="8">
        <v>140.88200000000001</v>
      </c>
      <c r="E78" s="8">
        <v>112.771</v>
      </c>
    </row>
    <row r="79" spans="2:6" ht="15" customHeight="1" x14ac:dyDescent="0.25">
      <c r="B79" s="10" t="s">
        <v>91</v>
      </c>
      <c r="C79" s="11">
        <f>C77+C78</f>
        <v>3994671.8539999998</v>
      </c>
      <c r="D79" s="11">
        <f>D77+D78</f>
        <v>5293245.5760000004</v>
      </c>
      <c r="E79" s="11">
        <f>E77+E78</f>
        <v>3621308.85</v>
      </c>
      <c r="F79" s="12"/>
    </row>
    <row r="80" spans="2:6" ht="15" customHeight="1" x14ac:dyDescent="0.25">
      <c r="B80" s="10" t="s">
        <v>92</v>
      </c>
      <c r="C80" s="11">
        <f>C70+C79</f>
        <v>8097212.6380000003</v>
      </c>
      <c r="D80" s="11">
        <f>D70+D79</f>
        <v>9554055.0109999999</v>
      </c>
      <c r="E80" s="11">
        <f>E70+E79</f>
        <v>11886988.870999999</v>
      </c>
      <c r="F80" s="12"/>
    </row>
    <row r="81" spans="2:6" ht="15" customHeight="1" x14ac:dyDescent="0.25">
      <c r="B81" s="7" t="s">
        <v>93</v>
      </c>
      <c r="C81" s="14">
        <f>ROUND(C55-C80,3)</f>
        <v>0</v>
      </c>
      <c r="D81" s="14">
        <f>ROUND(D55-D80,3)</f>
        <v>0</v>
      </c>
      <c r="E81" s="14">
        <f>ROUND(E55-E80,3)</f>
        <v>0</v>
      </c>
    </row>
    <row r="84" spans="2:6" ht="15" customHeight="1" x14ac:dyDescent="0.25">
      <c r="B84" s="3" t="s">
        <v>94</v>
      </c>
      <c r="C84" s="4"/>
      <c r="D84" s="4"/>
      <c r="E84" s="4"/>
      <c r="F84" s="4"/>
    </row>
    <row r="85" spans="2:6" ht="15" customHeight="1" x14ac:dyDescent="0.25">
      <c r="B85" s="5" t="s">
        <v>4</v>
      </c>
      <c r="C85" s="6" t="s">
        <v>5</v>
      </c>
      <c r="D85" s="6" t="s">
        <v>6</v>
      </c>
      <c r="E85" s="6" t="s">
        <v>7</v>
      </c>
      <c r="F85" s="5" t="s">
        <v>8</v>
      </c>
    </row>
    <row r="86" spans="2:6" ht="15" customHeight="1" x14ac:dyDescent="0.25">
      <c r="B86" s="7" t="s">
        <v>95</v>
      </c>
      <c r="C86" s="8">
        <v>1558622.7479999999</v>
      </c>
      <c r="D86" s="8">
        <v>1659338.9129999999</v>
      </c>
      <c r="E86" s="8">
        <v>2662743.2059999998</v>
      </c>
    </row>
    <row r="87" spans="2:6" ht="15" customHeight="1" x14ac:dyDescent="0.25">
      <c r="B87" s="7" t="s">
        <v>96</v>
      </c>
      <c r="C87" s="8">
        <v>-1230567.3940000001</v>
      </c>
      <c r="D87" s="8">
        <v>904084.07400000002</v>
      </c>
      <c r="E87" s="8">
        <v>-4231913.0250000004</v>
      </c>
      <c r="F87" s="9" t="s">
        <v>97</v>
      </c>
    </row>
    <row r="88" spans="2:6" ht="15" customHeight="1" x14ac:dyDescent="0.25">
      <c r="B88" s="7" t="s">
        <v>98</v>
      </c>
      <c r="C88" s="8">
        <v>-532340.13800000004</v>
      </c>
      <c r="D88" s="8">
        <v>-697019.55</v>
      </c>
      <c r="E88" s="8">
        <v>1154742.2120000001</v>
      </c>
      <c r="F88" s="9" t="s">
        <v>99</v>
      </c>
    </row>
    <row r="89" spans="2:6" ht="15" customHeight="1" x14ac:dyDescent="0.25">
      <c r="B89" s="10" t="s">
        <v>100</v>
      </c>
      <c r="C89" s="11">
        <f>C86+C87+C88</f>
        <v>-204284.78400000022</v>
      </c>
      <c r="D89" s="11">
        <f>D86+D87+D88</f>
        <v>1866403.4369999997</v>
      </c>
      <c r="E89" s="11">
        <f>E86+E87+E88</f>
        <v>-414427.60700000054</v>
      </c>
      <c r="F89" s="12"/>
    </row>
    <row r="90" spans="2:6" ht="15" customHeight="1" x14ac:dyDescent="0.25">
      <c r="B90" s="13" t="s">
        <v>101</v>
      </c>
      <c r="C90" s="8">
        <v>588679.39099999995</v>
      </c>
      <c r="D90" s="8">
        <v>384394.60700000002</v>
      </c>
      <c r="E90" s="8">
        <v>2250797.179</v>
      </c>
    </row>
    <row r="91" spans="2:6" ht="15" customHeight="1" x14ac:dyDescent="0.25">
      <c r="B91" s="13" t="s">
        <v>102</v>
      </c>
      <c r="C91" s="8">
        <v>0</v>
      </c>
      <c r="D91" s="8">
        <v>-0.86499999999999999</v>
      </c>
      <c r="E91" s="8">
        <v>2.1059999999999999</v>
      </c>
    </row>
    <row r="92" spans="2:6" ht="15" customHeight="1" x14ac:dyDescent="0.25">
      <c r="B92" s="7" t="s">
        <v>103</v>
      </c>
      <c r="C92" s="14">
        <f>C90+C89+C91</f>
        <v>384394.60699999973</v>
      </c>
      <c r="D92" s="14">
        <f>D90+D89+D91</f>
        <v>2250797.1789999995</v>
      </c>
      <c r="E92" s="14">
        <f>E90+E89+E91</f>
        <v>1836371.6779999994</v>
      </c>
    </row>
    <row r="93" spans="2:6" ht="15" customHeight="1" x14ac:dyDescent="0.25">
      <c r="B93" s="7" t="s">
        <v>104</v>
      </c>
      <c r="C93" s="14">
        <f>ROUND(C92-C35,3)</f>
        <v>0</v>
      </c>
      <c r="D93" s="14">
        <f>ROUND(D92-D35,3)</f>
        <v>0</v>
      </c>
      <c r="E93" s="14">
        <f>ROUND(E92-E35,3)</f>
        <v>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13"/>
  <sheetViews>
    <sheetView zoomScaleNormal="100" workbookViewId="0"/>
  </sheetViews>
  <sheetFormatPr defaultColWidth="8.7109375" defaultRowHeight="15" x14ac:dyDescent="0.25"/>
  <cols>
    <col min="2" max="2" width="24" customWidth="1"/>
    <col min="3" max="5" width="12" customWidth="1"/>
  </cols>
  <sheetData>
    <row r="1" spans="2:5" ht="17.25" customHeight="1" x14ac:dyDescent="0.25">
      <c r="B1" s="1" t="s">
        <v>105</v>
      </c>
    </row>
    <row r="2" spans="2:5" ht="15" customHeight="1" x14ac:dyDescent="0.25">
      <c r="B2" s="2" t="s">
        <v>106</v>
      </c>
    </row>
    <row r="4" spans="2:5" ht="15" customHeight="1" x14ac:dyDescent="0.25">
      <c r="B4" s="7" t="s">
        <v>107</v>
      </c>
      <c r="C4" s="16">
        <v>365</v>
      </c>
    </row>
    <row r="6" spans="2:5" ht="15" customHeight="1" x14ac:dyDescent="0.25">
      <c r="B6" s="17" t="s">
        <v>108</v>
      </c>
      <c r="C6" s="17" t="s">
        <v>109</v>
      </c>
      <c r="D6" s="17" t="s">
        <v>110</v>
      </c>
      <c r="E6" s="17" t="s">
        <v>111</v>
      </c>
    </row>
    <row r="7" spans="2:5" ht="15" customHeight="1" x14ac:dyDescent="0.25">
      <c r="B7" s="7" t="s">
        <v>112</v>
      </c>
      <c r="C7" s="18">
        <v>0.3</v>
      </c>
      <c r="D7" s="18">
        <v>0.33</v>
      </c>
      <c r="E7" s="7" t="s">
        <v>113</v>
      </c>
    </row>
    <row r="8" spans="2:5" ht="15" customHeight="1" x14ac:dyDescent="0.25">
      <c r="B8" s="7" t="s">
        <v>114</v>
      </c>
      <c r="C8" s="18">
        <v>0.09</v>
      </c>
      <c r="D8" s="18">
        <v>0.11</v>
      </c>
      <c r="E8" s="7" t="s">
        <v>113</v>
      </c>
    </row>
    <row r="9" spans="2:5" ht="15" customHeight="1" x14ac:dyDescent="0.25">
      <c r="B9" s="7" t="s">
        <v>115</v>
      </c>
      <c r="C9" s="18">
        <v>0.06</v>
      </c>
      <c r="D9" s="18">
        <v>0.08</v>
      </c>
      <c r="E9" s="7" t="s">
        <v>113</v>
      </c>
    </row>
    <row r="10" spans="2:5" ht="15" customHeight="1" x14ac:dyDescent="0.25">
      <c r="B10" s="7" t="s">
        <v>116</v>
      </c>
      <c r="C10" s="19">
        <v>1.3</v>
      </c>
      <c r="D10" s="19">
        <v>1.6</v>
      </c>
      <c r="E10" s="7" t="s">
        <v>117</v>
      </c>
    </row>
    <row r="11" spans="2:5" ht="15" customHeight="1" x14ac:dyDescent="0.25">
      <c r="B11" s="7" t="s">
        <v>118</v>
      </c>
      <c r="C11" s="19">
        <v>1</v>
      </c>
      <c r="D11" s="19">
        <v>1.3</v>
      </c>
      <c r="E11" s="7" t="s">
        <v>117</v>
      </c>
    </row>
    <row r="12" spans="2:5" ht="15" customHeight="1" x14ac:dyDescent="0.25">
      <c r="B12" s="7" t="s">
        <v>119</v>
      </c>
      <c r="C12" s="19">
        <v>8</v>
      </c>
      <c r="D12" s="19">
        <v>9</v>
      </c>
      <c r="E12" s="7" t="s">
        <v>117</v>
      </c>
    </row>
    <row r="13" spans="2:5" ht="15" customHeight="1" x14ac:dyDescent="0.25">
      <c r="B13" s="7" t="s">
        <v>120</v>
      </c>
      <c r="C13" s="20">
        <v>50</v>
      </c>
      <c r="D13" s="20">
        <v>55</v>
      </c>
      <c r="E13" s="7" t="s">
        <v>121</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4"/>
  <sheetViews>
    <sheetView showGridLines="0" zoomScaleNormal="100" workbookViewId="0"/>
  </sheetViews>
  <sheetFormatPr defaultColWidth="8.7109375" defaultRowHeight="15" x14ac:dyDescent="0.25"/>
  <cols>
    <col min="1" max="1" width="32" customWidth="1"/>
    <col min="2" max="2" width="52" customWidth="1"/>
    <col min="3" max="5" width="13" customWidth="1"/>
    <col min="6" max="6" width="58" customWidth="1"/>
    <col min="7" max="7" width="80" customWidth="1"/>
  </cols>
  <sheetData>
    <row r="1" spans="1:7" ht="17.25" customHeight="1" x14ac:dyDescent="0.25">
      <c r="A1" s="1" t="s">
        <v>122</v>
      </c>
    </row>
    <row r="2" spans="1:7" ht="15" customHeight="1" x14ac:dyDescent="0.25">
      <c r="A2" s="21" t="s">
        <v>123</v>
      </c>
    </row>
    <row r="4" spans="1:7" ht="15" customHeight="1" x14ac:dyDescent="0.25">
      <c r="A4" s="22" t="s">
        <v>124</v>
      </c>
    </row>
    <row r="5" spans="1:7" ht="15" customHeight="1" x14ac:dyDescent="0.25">
      <c r="A5" s="5" t="s">
        <v>108</v>
      </c>
      <c r="B5" s="5" t="s">
        <v>125</v>
      </c>
      <c r="C5" s="23" t="s">
        <v>5</v>
      </c>
      <c r="D5" s="23" t="s">
        <v>6</v>
      </c>
      <c r="E5" s="23" t="s">
        <v>7</v>
      </c>
      <c r="F5" s="5" t="s">
        <v>126</v>
      </c>
      <c r="G5" s="17" t="s">
        <v>127</v>
      </c>
    </row>
    <row r="6" spans="1:7" ht="54" customHeight="1" x14ac:dyDescent="0.25">
      <c r="A6" s="24" t="s">
        <v>112</v>
      </c>
      <c r="B6" s="25" t="s">
        <v>128</v>
      </c>
      <c r="C6" s="26">
        <f>'03_RAW_DATA'!C10/'03_RAW_DATA'!C8</f>
        <v>0.39531719889921185</v>
      </c>
      <c r="D6" s="26">
        <f>'03_RAW_DATA'!D10/'03_RAW_DATA'!D8</f>
        <v>0.40923126854736747</v>
      </c>
      <c r="E6" s="26">
        <f>'03_RAW_DATA'!E10/'03_RAW_DATA'!E8</f>
        <v>0.38854695040273213</v>
      </c>
      <c r="F6" s="25" t="str">
        <f>TEXT('04_ASSUMPTIONS'!$C$7*100,"0")&amp;"–"&amp;TEXT('04_ASSUMPTIONS'!$D$7*100,"0")&amp;"%"&amp;" → "&amp;IF(NOT(ISNUMBER(E6)),"n/a (no inventory reported)",IF(AND(IF(C6&lt;'04_ASSUMPTIONS'!$C$7,"below",IF(C6&gt;'04_ASSUMPTIONS'!$D$7,"above","within"))=IF(D6&lt;'04_ASSUMPTIONS'!$C$7,"below",IF(D6&gt;'04_ASSUMPTIONS'!$D$7,"above","within")),IF(D6&lt;'04_ASSUMPTIONS'!$C$7,"below",IF(D6&gt;'04_ASSUMPTIONS'!$D$7,"above","within"))=IF(E6&lt;'04_ASSUMPTIONS'!$C$7,"below",IF(E6&gt;'04_ASSUMPTIONS'!$D$7,"above","within"))),IF(E6&lt;'04_ASSUMPTIONS'!$C$7,"below",IF(E6&gt;'04_ASSUMPTIONS'!$D$7,"above","within"))&amp;" range throughout",IF(E6&lt;'04_ASSUMPTIONS'!$C$7,"below",IF(E6&gt;'04_ASSUMPTIONS'!$D$7,"above","within"))&amp;" range by FY2025")&amp;", "&amp;IF(E6&gt;C6,"improving",IF(E6&lt;C6,"worsening","flat")))</f>
        <v>30–33% → above range throughout, worsening</v>
      </c>
      <c r="G6" s="25" t="s">
        <v>129</v>
      </c>
    </row>
    <row r="7" spans="1:7" ht="54" customHeight="1" x14ac:dyDescent="0.25">
      <c r="A7" s="24" t="s">
        <v>114</v>
      </c>
      <c r="B7" s="25" t="s">
        <v>130</v>
      </c>
      <c r="C7" s="26">
        <f>'03_RAW_DATA'!C18/'03_RAW_DATA'!C8</f>
        <v>0.22897602413350346</v>
      </c>
      <c r="D7" s="26">
        <f>'03_RAW_DATA'!D18/'03_RAW_DATA'!D8</f>
        <v>0.22958007630680821</v>
      </c>
      <c r="E7" s="26">
        <f>'03_RAW_DATA'!E18/'03_RAW_DATA'!E8</f>
        <v>0.21447140990869482</v>
      </c>
      <c r="F7" s="25" t="str">
        <f>TEXT('04_ASSUMPTIONS'!$C$8*100,"0")&amp;"–"&amp;TEXT('04_ASSUMPTIONS'!$D$8*100,"0")&amp;"%"&amp;" → "&amp;IF(NOT(ISNUMBER(E7)),"n/a (no inventory reported)",IF(AND(IF(C7&lt;'04_ASSUMPTIONS'!$C$8,"below",IF(C7&gt;'04_ASSUMPTIONS'!$D$8,"above","within"))=IF(D7&lt;'04_ASSUMPTIONS'!$C$8,"below",IF(D7&gt;'04_ASSUMPTIONS'!$D$8,"above","within")),IF(D7&lt;'04_ASSUMPTIONS'!$C$8,"below",IF(D7&gt;'04_ASSUMPTIONS'!$D$8,"above","within"))=IF(E7&lt;'04_ASSUMPTIONS'!$C$8,"below",IF(E7&gt;'04_ASSUMPTIONS'!$D$8,"above","within"))),IF(E7&lt;'04_ASSUMPTIONS'!$C$8,"below",IF(E7&gt;'04_ASSUMPTIONS'!$D$8,"above","within"))&amp;" range throughout",IF(E7&lt;'04_ASSUMPTIONS'!$C$8,"below",IF(E7&gt;'04_ASSUMPTIONS'!$D$8,"above","within"))&amp;" range by FY2025")&amp;", "&amp;IF(E7&gt;C7,"improving",IF(E7&lt;C7,"worsening","flat")))</f>
        <v>9–11% → above range throughout, worsening</v>
      </c>
      <c r="G7" s="25" t="s">
        <v>131</v>
      </c>
    </row>
    <row r="8" spans="1:7" ht="54" customHeight="1" x14ac:dyDescent="0.25">
      <c r="A8" s="24" t="s">
        <v>115</v>
      </c>
      <c r="B8" s="25" t="s">
        <v>132</v>
      </c>
      <c r="C8" s="26">
        <f>'03_RAW_DATA'!C27/'03_RAW_DATA'!C8</f>
        <v>0.2299273189507616</v>
      </c>
      <c r="D8" s="26">
        <f>'03_RAW_DATA'!D27/'03_RAW_DATA'!D8</f>
        <v>0.24664495446325738</v>
      </c>
      <c r="E8" s="26">
        <f>'03_RAW_DATA'!E27/'03_RAW_DATA'!E8</f>
        <v>0.22085053285382827</v>
      </c>
      <c r="F8" s="25" t="str">
        <f>TEXT('04_ASSUMPTIONS'!$C$9*100,"0")&amp;"–"&amp;TEXT('04_ASSUMPTIONS'!$D$9*100,"0")&amp;"%"&amp;" → "&amp;IF(NOT(ISNUMBER(E8)),"n/a (no inventory reported)",IF(AND(IF(C8&lt;'04_ASSUMPTIONS'!$C$9,"below",IF(C8&gt;'04_ASSUMPTIONS'!$D$9,"above","within"))=IF(D8&lt;'04_ASSUMPTIONS'!$C$9,"below",IF(D8&gt;'04_ASSUMPTIONS'!$D$9,"above","within")),IF(D8&lt;'04_ASSUMPTIONS'!$C$9,"below",IF(D8&gt;'04_ASSUMPTIONS'!$D$9,"above","within"))=IF(E8&lt;'04_ASSUMPTIONS'!$C$9,"below",IF(E8&gt;'04_ASSUMPTIONS'!$D$9,"above","within"))),IF(E8&lt;'04_ASSUMPTIONS'!$C$9,"below",IF(E8&gt;'04_ASSUMPTIONS'!$D$9,"above","within"))&amp;" range throughout",IF(E8&lt;'04_ASSUMPTIONS'!$C$9,"below",IF(E8&gt;'04_ASSUMPTIONS'!$D$9,"above","within"))&amp;" range by FY2025")&amp;", "&amp;IF(E8&gt;C8,"improving",IF(E8&lt;C8,"worsening","flat")))</f>
        <v>6–8% → above range throughout, worsening</v>
      </c>
      <c r="G8" s="25" t="s">
        <v>133</v>
      </c>
    </row>
    <row r="9" spans="1:7" ht="54" customHeight="1" x14ac:dyDescent="0.25">
      <c r="A9" s="24" t="s">
        <v>134</v>
      </c>
      <c r="B9" s="25" t="s">
        <v>135</v>
      </c>
      <c r="C9" s="26">
        <f>'03_RAW_DATA'!C27/'03_RAW_DATA'!C55</f>
        <v>0.16748908724903858</v>
      </c>
      <c r="D9" s="26">
        <f>'03_RAW_DATA'!D27/'03_RAW_DATA'!D55</f>
        <v>0.19121184312804032</v>
      </c>
      <c r="E9" s="26">
        <f>'03_RAW_DATA'!E27/'03_RAW_DATA'!E55</f>
        <v>0.17584982333916749</v>
      </c>
      <c r="F9" s="25" t="s">
        <v>136</v>
      </c>
      <c r="G9" s="25" t="s">
        <v>137</v>
      </c>
    </row>
    <row r="10" spans="1:7" ht="54" customHeight="1" x14ac:dyDescent="0.25">
      <c r="A10" s="24" t="s">
        <v>138</v>
      </c>
      <c r="B10" s="25" t="s">
        <v>139</v>
      </c>
      <c r="C10" s="26">
        <f>'03_RAW_DATA'!C27/'03_RAW_DATA'!C79</f>
        <v>0.33950091611204469</v>
      </c>
      <c r="D10" s="26">
        <f>'03_RAW_DATA'!D27/'03_RAW_DATA'!D79</f>
        <v>0.34512822837524809</v>
      </c>
      <c r="E10" s="26">
        <f>'03_RAW_DATA'!E27/'03_RAW_DATA'!E79</f>
        <v>0.57722911234152252</v>
      </c>
      <c r="F10" s="25" t="s">
        <v>136</v>
      </c>
      <c r="G10" s="25" t="s">
        <v>140</v>
      </c>
    </row>
    <row r="13" spans="1:7" ht="15" customHeight="1" x14ac:dyDescent="0.25">
      <c r="A13" s="22" t="s">
        <v>141</v>
      </c>
    </row>
    <row r="14" spans="1:7" ht="15" customHeight="1" x14ac:dyDescent="0.25">
      <c r="A14" s="5" t="s">
        <v>108</v>
      </c>
      <c r="B14" s="5" t="s">
        <v>125</v>
      </c>
      <c r="C14" s="23" t="s">
        <v>5</v>
      </c>
      <c r="D14" s="23" t="s">
        <v>6</v>
      </c>
      <c r="E14" s="23" t="s">
        <v>7</v>
      </c>
      <c r="F14" s="5" t="s">
        <v>126</v>
      </c>
      <c r="G14" s="17" t="s">
        <v>127</v>
      </c>
    </row>
    <row r="15" spans="1:7" ht="54" customHeight="1" x14ac:dyDescent="0.25">
      <c r="A15" s="24" t="s">
        <v>116</v>
      </c>
      <c r="B15" s="25" t="s">
        <v>142</v>
      </c>
      <c r="C15" s="27">
        <f>'03_RAW_DATA'!C44/'03_RAW_DATA'!C64</f>
        <v>1.9837496531578167</v>
      </c>
      <c r="D15" s="27">
        <f>'03_RAW_DATA'!D44/'03_RAW_DATA'!D64</f>
        <v>2.3659129840892872</v>
      </c>
      <c r="E15" s="27">
        <f>'03_RAW_DATA'!E44/'03_RAW_DATA'!E64</f>
        <v>1.748529992884043</v>
      </c>
      <c r="F15" s="25" t="str">
        <f>TEXT('04_ASSUMPTIONS'!$C$10,"0.0")&amp;"–"&amp;TEXT('04_ASSUMPTIONS'!$D$10,"0.0")&amp;"x"&amp;" → "&amp;IF(NOT(ISNUMBER(E15)),"n/a (no inventory reported)",IF(AND(IF(C15&lt;'04_ASSUMPTIONS'!$C$10,"below",IF(C15&gt;'04_ASSUMPTIONS'!$D$10,"above","within"))=IF(D15&lt;'04_ASSUMPTIONS'!$C$10,"below",IF(D15&gt;'04_ASSUMPTIONS'!$D$10,"above","within")),IF(D15&lt;'04_ASSUMPTIONS'!$C$10,"below",IF(D15&gt;'04_ASSUMPTIONS'!$D$10,"above","within"))=IF(E15&lt;'04_ASSUMPTIONS'!$C$10,"below",IF(E15&gt;'04_ASSUMPTIONS'!$D$10,"above","within"))),IF(E15&lt;'04_ASSUMPTIONS'!$C$10,"below",IF(E15&gt;'04_ASSUMPTIONS'!$D$10,"above","within"))&amp;" range throughout",IF(E15&lt;'04_ASSUMPTIONS'!$C$10,"below",IF(E15&gt;'04_ASSUMPTIONS'!$D$10,"above","within"))&amp;" range by FY2025")&amp;", "&amp;IF(E15&gt;C15,"improving",IF(E15&lt;C15,"worsening","flat")))</f>
        <v>1.3–1.6x → above range throughout, worsening</v>
      </c>
      <c r="G15" s="25" t="s">
        <v>143</v>
      </c>
    </row>
    <row r="16" spans="1:7" ht="54" customHeight="1" x14ac:dyDescent="0.25">
      <c r="A16" s="24" t="s">
        <v>144</v>
      </c>
      <c r="B16" s="25" t="s">
        <v>145</v>
      </c>
      <c r="C16" s="27">
        <f>('03_RAW_DATA'!C44-'03_RAW_DATA'!C39-'03_RAW_DATA'!C38)/'03_RAW_DATA'!C64</f>
        <v>1.7436128020553257</v>
      </c>
      <c r="D16" s="27">
        <f>('03_RAW_DATA'!D44-'03_RAW_DATA'!D39-'03_RAW_DATA'!D38)/'03_RAW_DATA'!D64</f>
        <v>2.1767733470502955</v>
      </c>
      <c r="E16" s="27">
        <f>('03_RAW_DATA'!E44-'03_RAW_DATA'!E39-'03_RAW_DATA'!E38)/'03_RAW_DATA'!E64</f>
        <v>1.5392393508828375</v>
      </c>
      <c r="F16" s="25" t="s">
        <v>136</v>
      </c>
      <c r="G16" s="25" t="s">
        <v>146</v>
      </c>
    </row>
    <row r="17" spans="1:7" ht="54" customHeight="1" x14ac:dyDescent="0.25">
      <c r="A17" s="24" t="s">
        <v>147</v>
      </c>
      <c r="B17" s="25" t="s">
        <v>148</v>
      </c>
      <c r="C17" s="28">
        <f>('03_RAW_DATA'!C35+'03_RAW_DATA'!C36)/'03_RAW_DATA'!C64</f>
        <v>0.97471423028098914</v>
      </c>
      <c r="D17" s="28">
        <f>('03_RAW_DATA'!D35+'03_RAW_DATA'!D36)/'03_RAW_DATA'!D64</f>
        <v>1.0838032215162161</v>
      </c>
      <c r="E17" s="28">
        <f>('03_RAW_DATA'!E35+'03_RAW_DATA'!E36)/'03_RAW_DATA'!E64</f>
        <v>0.73897170528941647</v>
      </c>
      <c r="F17" s="25" t="s">
        <v>136</v>
      </c>
      <c r="G17" s="25" t="s">
        <v>149</v>
      </c>
    </row>
    <row r="20" spans="1:7" ht="15" customHeight="1" x14ac:dyDescent="0.25">
      <c r="A20" s="22" t="s">
        <v>150</v>
      </c>
    </row>
    <row r="21" spans="1:7" ht="15" customHeight="1" x14ac:dyDescent="0.25">
      <c r="A21" s="5" t="s">
        <v>108</v>
      </c>
      <c r="B21" s="5" t="s">
        <v>125</v>
      </c>
      <c r="C21" s="23" t="s">
        <v>5</v>
      </c>
      <c r="D21" s="23" t="s">
        <v>6</v>
      </c>
      <c r="E21" s="23" t="s">
        <v>7</v>
      </c>
      <c r="F21" s="5" t="s">
        <v>126</v>
      </c>
      <c r="G21" s="17" t="s">
        <v>127</v>
      </c>
    </row>
    <row r="22" spans="1:7" ht="54" customHeight="1" x14ac:dyDescent="0.25">
      <c r="A22" s="24" t="s">
        <v>118</v>
      </c>
      <c r="B22" s="25" t="s">
        <v>151</v>
      </c>
      <c r="C22" s="27">
        <f>('03_RAW_DATA'!C58+'03_RAW_DATA'!C65)/'03_RAW_DATA'!C79</f>
        <v>0</v>
      </c>
      <c r="D22" s="27">
        <f>('03_RAW_DATA'!D58+'03_RAW_DATA'!D65)/'03_RAW_DATA'!D79</f>
        <v>0</v>
      </c>
      <c r="E22" s="27">
        <f>('03_RAW_DATA'!E58+'03_RAW_DATA'!E65)/'03_RAW_DATA'!E79</f>
        <v>0.5449433071691745</v>
      </c>
      <c r="F22" s="25" t="str">
        <f>TEXT('04_ASSUMPTIONS'!$C$11,"0.0")&amp;"–"&amp;TEXT('04_ASSUMPTIONS'!$D$11,"0.0")&amp;"x"&amp;" → "&amp;IF(NOT(ISNUMBER(E22)),"n/a (no inventory reported)",IF(AND(IF(C22&lt;'04_ASSUMPTIONS'!$C$11,"below",IF(C22&gt;'04_ASSUMPTIONS'!$D$11,"above","within"))=IF(D22&lt;'04_ASSUMPTIONS'!$C$11,"below",IF(D22&gt;'04_ASSUMPTIONS'!$D$11,"above","within")),IF(D22&lt;'04_ASSUMPTIONS'!$C$11,"below",IF(D22&gt;'04_ASSUMPTIONS'!$D$11,"above","within"))=IF(E22&lt;'04_ASSUMPTIONS'!$C$11,"below",IF(E22&gt;'04_ASSUMPTIONS'!$D$11,"above","within"))),IF(E22&lt;'04_ASSUMPTIONS'!$C$11,"below",IF(E22&gt;'04_ASSUMPTIONS'!$D$11,"above","within"))&amp;" range throughout",IF(E22&lt;'04_ASSUMPTIONS'!$C$11,"below",IF(E22&gt;'04_ASSUMPTIONS'!$D$11,"above","within"))&amp;" range by FY2025")&amp;", "&amp;IF(E22&gt;C22,"rising",IF(E22&lt;C22,"falling","flat")))</f>
        <v>1.0–1.3x → below range throughout, rising</v>
      </c>
      <c r="G22" s="25" t="s">
        <v>152</v>
      </c>
    </row>
    <row r="23" spans="1:7" ht="54" customHeight="1" x14ac:dyDescent="0.25">
      <c r="A23" s="24" t="s">
        <v>153</v>
      </c>
      <c r="B23" s="25" t="s">
        <v>154</v>
      </c>
      <c r="C23" s="26">
        <f>'03_RAW_DATA'!C70/'03_RAW_DATA'!C55</f>
        <v>0.50666086805561794</v>
      </c>
      <c r="D23" s="26">
        <f>'03_RAW_DATA'!D70/'03_RAW_DATA'!D55</f>
        <v>0.44596869393093769</v>
      </c>
      <c r="E23" s="26">
        <f>'03_RAW_DATA'!E70/'03_RAW_DATA'!E55</f>
        <v>0.69535524182792008</v>
      </c>
      <c r="F23" s="25" t="s">
        <v>136</v>
      </c>
      <c r="G23" s="25" t="s">
        <v>155</v>
      </c>
    </row>
    <row r="24" spans="1:7" ht="54" customHeight="1" x14ac:dyDescent="0.25">
      <c r="A24" s="24" t="s">
        <v>156</v>
      </c>
      <c r="B24" s="25" t="s">
        <v>157</v>
      </c>
      <c r="C24" s="27">
        <f>'03_RAW_DATA'!C18/'03_RAW_DATA'!C19</f>
        <v>230.42670265911806</v>
      </c>
      <c r="D24" s="27">
        <f>'03_RAW_DATA'!D18/'03_RAW_DATA'!D19</f>
        <v>59.775613679489695</v>
      </c>
      <c r="E24" s="27">
        <f>'03_RAW_DATA'!E18/'03_RAW_DATA'!E19</f>
        <v>19.186759022720558</v>
      </c>
      <c r="F24" s="25" t="s">
        <v>136</v>
      </c>
      <c r="G24" s="25" t="s">
        <v>158</v>
      </c>
    </row>
    <row r="27" spans="1:7" ht="15" customHeight="1" x14ac:dyDescent="0.25">
      <c r="A27" s="22" t="s">
        <v>159</v>
      </c>
    </row>
    <row r="28" spans="1:7" ht="15" customHeight="1" x14ac:dyDescent="0.25">
      <c r="A28" s="5" t="s">
        <v>108</v>
      </c>
      <c r="B28" s="5" t="s">
        <v>125</v>
      </c>
      <c r="C28" s="23" t="s">
        <v>5</v>
      </c>
      <c r="D28" s="23" t="s">
        <v>6</v>
      </c>
      <c r="E28" s="23" t="s">
        <v>7</v>
      </c>
      <c r="F28" s="5" t="s">
        <v>126</v>
      </c>
      <c r="G28" s="17" t="s">
        <v>127</v>
      </c>
    </row>
    <row r="29" spans="1:7" ht="54" customHeight="1" x14ac:dyDescent="0.25">
      <c r="A29" s="24" t="s">
        <v>160</v>
      </c>
      <c r="B29" s="25" t="s">
        <v>161</v>
      </c>
      <c r="C29" s="27">
        <f>'03_RAW_DATA'!C8/'03_RAW_DATA'!C55</f>
        <v>0.72844361432712568</v>
      </c>
      <c r="D29" s="27">
        <f>'03_RAW_DATA'!D8/'03_RAW_DATA'!D55</f>
        <v>0.77525138733995513</v>
      </c>
      <c r="E29" s="27">
        <f>'03_RAW_DATA'!E8/'03_RAW_DATA'!E55</f>
        <v>0.79623907204043354</v>
      </c>
      <c r="F29" s="25"/>
      <c r="G29" s="25" t="s">
        <v>162</v>
      </c>
    </row>
    <row r="30" spans="1:7" ht="54" customHeight="1" x14ac:dyDescent="0.25">
      <c r="A30" s="24" t="s">
        <v>119</v>
      </c>
      <c r="B30" s="25" t="s">
        <v>163</v>
      </c>
      <c r="C30" s="27" t="str">
        <f>IF('03_RAW_DATA'!C39=0,"n/a",'03_RAW_DATA'!C9/'03_RAW_DATA'!C39)</f>
        <v>n/a</v>
      </c>
      <c r="D30" s="27" t="str">
        <f>IF('03_RAW_DATA'!D39=0,"n/a",'03_RAW_DATA'!D9/'03_RAW_DATA'!D39)</f>
        <v>n/a</v>
      </c>
      <c r="E30" s="27" t="str">
        <f>IF('03_RAW_DATA'!E39=0,"n/a",'03_RAW_DATA'!E9/'03_RAW_DATA'!E39)</f>
        <v>n/a</v>
      </c>
      <c r="F30" s="25" t="str">
        <f>TEXT('04_ASSUMPTIONS'!$C$12,"0.0")&amp;"–"&amp;TEXT('04_ASSUMPTIONS'!$D$12,"0.0")&amp;"x"&amp;" → "&amp;IF(NOT(ISNUMBER(E30)),"n/a (no inventory reported)",IF(AND(IF(C30&lt;'04_ASSUMPTIONS'!$C$12,"below",IF(C30&gt;'04_ASSUMPTIONS'!$D$12,"above","within"))=IF(D30&lt;'04_ASSUMPTIONS'!$C$12,"below",IF(D30&gt;'04_ASSUMPTIONS'!$D$12,"above","within")),IF(D30&lt;'04_ASSUMPTIONS'!$C$12,"below",IF(D30&gt;'04_ASSUMPTIONS'!$D$12,"above","within"))=IF(E30&lt;'04_ASSUMPTIONS'!$C$12,"below",IF(E30&gt;'04_ASSUMPTIONS'!$D$12,"above","within"))),IF(E30&lt;'04_ASSUMPTIONS'!$C$12,"below",IF(E30&gt;'04_ASSUMPTIONS'!$D$12,"above","within"))&amp;" range throughout",IF(E30&lt;'04_ASSUMPTIONS'!$C$12,"below",IF(E30&gt;'04_ASSUMPTIONS'!$D$12,"above","within"))&amp;" range by FY2025")&amp;", "&amp;IF(E30&gt;C30,"improving",IF(E30&lt;C30,"worsening","flat")))</f>
        <v>8.0–9.0x → n/a (no inventory reported)</v>
      </c>
      <c r="G30" s="25" t="s">
        <v>164</v>
      </c>
    </row>
    <row r="31" spans="1:7" ht="54" customHeight="1" x14ac:dyDescent="0.25">
      <c r="A31" s="24" t="s">
        <v>165</v>
      </c>
      <c r="B31" s="25" t="s">
        <v>166</v>
      </c>
      <c r="C31" s="27">
        <f>'03_RAW_DATA'!C8/'03_RAW_DATA'!C37</f>
        <v>2.5398210606162959</v>
      </c>
      <c r="D31" s="27">
        <f>'03_RAW_DATA'!D8/'03_RAW_DATA'!D37</f>
        <v>2.5582813387765775</v>
      </c>
      <c r="E31" s="27">
        <f>'03_RAW_DATA'!E8/'03_RAW_DATA'!E37</f>
        <v>2.624393472873837</v>
      </c>
      <c r="F31" s="25"/>
      <c r="G31" s="25" t="s">
        <v>167</v>
      </c>
    </row>
    <row r="32" spans="1:7" ht="54" customHeight="1" x14ac:dyDescent="0.25">
      <c r="A32" s="24" t="s">
        <v>168</v>
      </c>
      <c r="B32" s="25" t="s">
        <v>169</v>
      </c>
      <c r="C32" s="29">
        <f>'04_ASSUMPTIONS'!$C$4/('03_RAW_DATA'!C8/'03_RAW_DATA'!C37)</f>
        <v>143.71091163069244</v>
      </c>
      <c r="D32" s="29">
        <f>'04_ASSUMPTIONS'!$C$4/('03_RAW_DATA'!D8/'03_RAW_DATA'!D37)</f>
        <v>142.67390942020103</v>
      </c>
      <c r="E32" s="29">
        <f>'04_ASSUMPTIONS'!$C$4/('03_RAW_DATA'!E8/'03_RAW_DATA'!E37)</f>
        <v>139.07975453098024</v>
      </c>
      <c r="F32" s="25" t="str">
        <f>TEXT('04_ASSUMPTIONS'!$C$13,"0")&amp;"–"&amp;TEXT('04_ASSUMPTIONS'!$D$13,"0")&amp;" days"&amp;" → "&amp;IF(NOT(ISNUMBER(E32)),"n/a (no inventory reported)",IF(AND(IF(C32&lt;'04_ASSUMPTIONS'!$C$13,"below",IF(C32&gt;'04_ASSUMPTIONS'!$D$13,"above","within"))=IF(D32&lt;'04_ASSUMPTIONS'!$C$13,"below",IF(D32&gt;'04_ASSUMPTIONS'!$D$13,"above","within")),IF(D32&lt;'04_ASSUMPTIONS'!$C$13,"below",IF(D32&gt;'04_ASSUMPTIONS'!$D$13,"above","within"))=IF(E32&lt;'04_ASSUMPTIONS'!$C$13,"below",IF(E32&gt;'04_ASSUMPTIONS'!$D$13,"above","within"))),IF(E32&lt;'04_ASSUMPTIONS'!$C$13,"below",IF(E32&gt;'04_ASSUMPTIONS'!$D$13,"above","within"))&amp;" range throughout",IF(E32&lt;'04_ASSUMPTIONS'!$C$13,"below",IF(E32&gt;'04_ASSUMPTIONS'!$D$13,"above","within"))&amp;" range by FY2025")&amp;", "&amp;IF(E32&gt;C32,"worsening",IF(E32&lt;C32,"improving","flat")))</f>
        <v>50–55 days → above range throughout, improving</v>
      </c>
      <c r="G32" s="25" t="s">
        <v>170</v>
      </c>
    </row>
    <row r="33" spans="1:7" ht="54" customHeight="1" x14ac:dyDescent="0.25">
      <c r="A33" s="24" t="s">
        <v>171</v>
      </c>
      <c r="B33" s="25" t="s">
        <v>172</v>
      </c>
      <c r="C33" s="29" t="str">
        <f>IF('03_RAW_DATA'!C39=0,"n/a",'04_ASSUMPTIONS'!$C$4/('03_RAW_DATA'!C9/'03_RAW_DATA'!C39))</f>
        <v>n/a</v>
      </c>
      <c r="D33" s="29" t="str">
        <f>IF('03_RAW_DATA'!D39=0,"n/a",'04_ASSUMPTIONS'!$C$4/('03_RAW_DATA'!D9/'03_RAW_DATA'!D39))</f>
        <v>n/a</v>
      </c>
      <c r="E33" s="29" t="str">
        <f>IF('03_RAW_DATA'!E39=0,"n/a",'04_ASSUMPTIONS'!$C$4/('03_RAW_DATA'!E9/'03_RAW_DATA'!E39))</f>
        <v>n/a</v>
      </c>
      <c r="F33" s="25"/>
      <c r="G33" s="25" t="s">
        <v>173</v>
      </c>
    </row>
    <row r="34" spans="1:7" ht="54" customHeight="1" x14ac:dyDescent="0.25">
      <c r="A34" s="24" t="s">
        <v>174</v>
      </c>
      <c r="B34" s="25" t="s">
        <v>175</v>
      </c>
      <c r="C34" s="29">
        <f>'04_ASSUMPTIONS'!$C$4/('03_RAW_DATA'!C9/'03_RAW_DATA'!C57)</f>
        <v>287.06167204443432</v>
      </c>
      <c r="D34" s="29">
        <f>'04_ASSUMPTIONS'!$C$4/('03_RAW_DATA'!D9/'03_RAW_DATA'!D57)</f>
        <v>206.83460577346335</v>
      </c>
      <c r="E34" s="29">
        <f>'04_ASSUMPTIONS'!$C$4/('03_RAW_DATA'!E9/'03_RAW_DATA'!E57)</f>
        <v>219.58961580382871</v>
      </c>
      <c r="F34" s="25"/>
      <c r="G34" s="25" t="s">
        <v>176</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9"/>
  <sheetViews>
    <sheetView showGridLines="0" zoomScaleNormal="100" workbookViewId="0"/>
  </sheetViews>
  <sheetFormatPr defaultColWidth="8.7109375" defaultRowHeight="15" x14ac:dyDescent="0.25"/>
  <cols>
    <col min="1" max="1" width="38" customWidth="1"/>
    <col min="2" max="4" width="12" customWidth="1"/>
    <col min="5" max="5" width="90" customWidth="1"/>
  </cols>
  <sheetData>
    <row r="1" spans="1:5" ht="17.25" customHeight="1" x14ac:dyDescent="0.25">
      <c r="A1" s="1" t="s">
        <v>177</v>
      </c>
    </row>
    <row r="3" spans="1:5" ht="15" customHeight="1" x14ac:dyDescent="0.25">
      <c r="A3" s="22" t="s">
        <v>178</v>
      </c>
    </row>
    <row r="4" spans="1:5" ht="15" customHeight="1" x14ac:dyDescent="0.25">
      <c r="A4" s="21" t="s">
        <v>179</v>
      </c>
    </row>
    <row r="5" spans="1:5" ht="15" customHeight="1" x14ac:dyDescent="0.25">
      <c r="A5" s="5" t="s">
        <v>180</v>
      </c>
      <c r="B5" s="23" t="s">
        <v>5</v>
      </c>
      <c r="C5" s="23" t="s">
        <v>6</v>
      </c>
      <c r="D5" s="23" t="s">
        <v>7</v>
      </c>
      <c r="E5" s="5" t="s">
        <v>181</v>
      </c>
    </row>
    <row r="6" spans="1:5" ht="43.5" customHeight="1" x14ac:dyDescent="0.25">
      <c r="A6" s="25" t="s">
        <v>182</v>
      </c>
      <c r="B6" s="26">
        <f>'03_RAW_DATA'!C27/'03_RAW_DATA'!C8</f>
        <v>0.2299273189507616</v>
      </c>
      <c r="C6" s="26">
        <f>'03_RAW_DATA'!D27/'03_RAW_DATA'!D8</f>
        <v>0.24664495446325738</v>
      </c>
      <c r="D6" s="26">
        <f>'03_RAW_DATA'!E27/'03_RAW_DATA'!E8</f>
        <v>0.22085053285382827</v>
      </c>
      <c r="E6" s="25" t="s">
        <v>183</v>
      </c>
    </row>
    <row r="7" spans="1:5" ht="43.5" customHeight="1" x14ac:dyDescent="0.25">
      <c r="A7" s="25" t="s">
        <v>184</v>
      </c>
      <c r="B7" s="30">
        <f>'03_RAW_DATA'!C8/'03_RAW_DATA'!C55</f>
        <v>0.72844361432712568</v>
      </c>
      <c r="C7" s="30">
        <f>'03_RAW_DATA'!D8/'03_RAW_DATA'!D55</f>
        <v>0.77525138733995513</v>
      </c>
      <c r="D7" s="30">
        <f>'03_RAW_DATA'!E8/'03_RAW_DATA'!E55</f>
        <v>0.79623907204043354</v>
      </c>
      <c r="E7" s="25" t="s">
        <v>185</v>
      </c>
    </row>
    <row r="8" spans="1:5" ht="43.5" customHeight="1" x14ac:dyDescent="0.25">
      <c r="A8" s="25" t="s">
        <v>186</v>
      </c>
      <c r="B8" s="30">
        <f>'03_RAW_DATA'!C55/'03_RAW_DATA'!C79</f>
        <v>2.0270032017503485</v>
      </c>
      <c r="C8" s="30">
        <f>'03_RAW_DATA'!D55/'03_RAW_DATA'!D79</f>
        <v>1.8049521553125838</v>
      </c>
      <c r="D8" s="30">
        <f>'03_RAW_DATA'!E55/'03_RAW_DATA'!E79</f>
        <v>3.2825117556598351</v>
      </c>
      <c r="E8" s="25" t="s">
        <v>187</v>
      </c>
    </row>
    <row r="9" spans="1:5" ht="43.5" customHeight="1" x14ac:dyDescent="0.25">
      <c r="A9" s="31" t="s">
        <v>188</v>
      </c>
      <c r="B9" s="32">
        <f>B6*B7*B8</f>
        <v>0.33950091611204475</v>
      </c>
      <c r="C9" s="32">
        <f>C6*C7*C8</f>
        <v>0.34512822837524809</v>
      </c>
      <c r="D9" s="32">
        <f>D6*D7*D8</f>
        <v>0.57722911234152263</v>
      </c>
      <c r="E9" s="25" t="s">
        <v>189</v>
      </c>
    </row>
    <row r="10" spans="1:5" ht="18" customHeight="1" x14ac:dyDescent="0.25">
      <c r="A10" s="25" t="s">
        <v>190</v>
      </c>
      <c r="B10" s="33">
        <f>'05_ANALYSIS'!C10</f>
        <v>0.33950091611204469</v>
      </c>
      <c r="C10" s="33">
        <f>'05_ANALYSIS'!D10</f>
        <v>0.34512822837524809</v>
      </c>
      <c r="D10" s="33">
        <f>'05_ANALYSIS'!E10</f>
        <v>0.57722911234152252</v>
      </c>
      <c r="E10" s="25" t="s">
        <v>191</v>
      </c>
    </row>
    <row r="11" spans="1:5" ht="18" customHeight="1" x14ac:dyDescent="0.25">
      <c r="A11" s="25" t="s">
        <v>192</v>
      </c>
      <c r="B11" s="34">
        <f>ROUND(B9-B10,6)</f>
        <v>0</v>
      </c>
      <c r="C11" s="34">
        <f>ROUND(C9-C10,6)</f>
        <v>0</v>
      </c>
      <c r="D11" s="34">
        <f>ROUND(D9-D10,6)</f>
        <v>0</v>
      </c>
      <c r="E11" s="25" t="s">
        <v>193</v>
      </c>
    </row>
    <row r="13" spans="1:5" ht="15" customHeight="1" x14ac:dyDescent="0.25">
      <c r="A13" s="22" t="s">
        <v>194</v>
      </c>
    </row>
    <row r="14" spans="1:5" ht="15" customHeight="1" x14ac:dyDescent="0.25">
      <c r="A14" s="21" t="s">
        <v>195</v>
      </c>
    </row>
    <row r="15" spans="1:5" ht="15" customHeight="1" x14ac:dyDescent="0.25">
      <c r="A15" s="5" t="s">
        <v>180</v>
      </c>
      <c r="B15" s="23" t="s">
        <v>5</v>
      </c>
      <c r="C15" s="23" t="s">
        <v>6</v>
      </c>
      <c r="D15" s="23" t="s">
        <v>7</v>
      </c>
      <c r="E15" s="5"/>
    </row>
    <row r="16" spans="1:5" ht="43.5" customHeight="1" x14ac:dyDescent="0.25">
      <c r="A16" s="25" t="s">
        <v>168</v>
      </c>
      <c r="B16" s="35">
        <f>'05_ANALYSIS'!C32</f>
        <v>143.71091163069244</v>
      </c>
      <c r="C16" s="35">
        <f>'05_ANALYSIS'!D32</f>
        <v>142.67390942020103</v>
      </c>
      <c r="D16" s="35">
        <f>'05_ANALYSIS'!E32</f>
        <v>139.07975453098024</v>
      </c>
      <c r="E16" s="25" t="s">
        <v>196</v>
      </c>
    </row>
    <row r="17" spans="1:5" ht="43.5" customHeight="1" x14ac:dyDescent="0.25">
      <c r="A17" s="25" t="s">
        <v>197</v>
      </c>
      <c r="B17" s="35">
        <f>IF(ISNUMBER('05_ANALYSIS'!C33),'05_ANALYSIS'!C33,0)</f>
        <v>0</v>
      </c>
      <c r="C17" s="35">
        <f>IF(ISNUMBER('05_ANALYSIS'!D33),'05_ANALYSIS'!D33,0)</f>
        <v>0</v>
      </c>
      <c r="D17" s="35">
        <f>IF(ISNUMBER('05_ANALYSIS'!E33),'05_ANALYSIS'!E33,0)</f>
        <v>0</v>
      </c>
      <c r="E17" s="25" t="s">
        <v>198</v>
      </c>
    </row>
    <row r="18" spans="1:5" ht="43.5" customHeight="1" x14ac:dyDescent="0.25">
      <c r="A18" s="25" t="s">
        <v>199</v>
      </c>
      <c r="B18" s="35">
        <f>'05_ANALYSIS'!C34</f>
        <v>287.06167204443432</v>
      </c>
      <c r="C18" s="35">
        <f>'05_ANALYSIS'!D34</f>
        <v>206.83460577346335</v>
      </c>
      <c r="D18" s="35">
        <f>'05_ANALYSIS'!E34</f>
        <v>219.58961580382871</v>
      </c>
      <c r="E18" s="25" t="s">
        <v>200</v>
      </c>
    </row>
    <row r="19" spans="1:5" ht="43.5" customHeight="1" x14ac:dyDescent="0.25">
      <c r="A19" s="31" t="s">
        <v>201</v>
      </c>
      <c r="B19" s="36">
        <f>B16+B17-B18</f>
        <v>-143.35076041374188</v>
      </c>
      <c r="C19" s="36">
        <f>C16+C17-C18</f>
        <v>-64.160696353262324</v>
      </c>
      <c r="D19" s="36">
        <f>D16+D17-D18</f>
        <v>-80.509861272848468</v>
      </c>
      <c r="E19" s="25" t="s">
        <v>202</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3"/>
  <sheetViews>
    <sheetView showGridLines="0" tabSelected="1" topLeftCell="A14" zoomScale="190" zoomScaleNormal="190" workbookViewId="0">
      <selection activeCell="A6" sqref="A6"/>
    </sheetView>
  </sheetViews>
  <sheetFormatPr defaultColWidth="8.7109375" defaultRowHeight="15" x14ac:dyDescent="0.25"/>
  <cols>
    <col min="1" max="1" width="150" customWidth="1"/>
  </cols>
  <sheetData>
    <row r="1" spans="1:1" ht="17.45" customHeight="1" x14ac:dyDescent="0.25">
      <c r="A1" s="1" t="s">
        <v>203</v>
      </c>
    </row>
    <row r="2" spans="1:1" ht="12.6" customHeight="1" x14ac:dyDescent="0.25">
      <c r="A2" s="21" t="s">
        <v>204</v>
      </c>
    </row>
    <row r="3" spans="1:1" ht="15" customHeight="1" x14ac:dyDescent="0.25">
      <c r="A3" s="2" t="s">
        <v>205</v>
      </c>
    </row>
    <row r="5" spans="1:1" ht="15" customHeight="1" x14ac:dyDescent="0.25">
      <c r="A5" s="3" t="s">
        <v>206</v>
      </c>
    </row>
    <row r="6" spans="1:1" ht="150" customHeight="1" x14ac:dyDescent="0.25">
      <c r="A6" s="37" t="s">
        <v>207</v>
      </c>
    </row>
    <row r="8" spans="1:1" ht="15" customHeight="1" x14ac:dyDescent="0.25">
      <c r="A8" s="3" t="s">
        <v>208</v>
      </c>
    </row>
    <row r="9" spans="1:1" ht="94.5" customHeight="1" x14ac:dyDescent="0.25">
      <c r="A9" s="37" t="s">
        <v>209</v>
      </c>
    </row>
    <row r="10" spans="1:1" ht="94.5" customHeight="1" x14ac:dyDescent="0.25">
      <c r="A10" s="37" t="s">
        <v>210</v>
      </c>
    </row>
    <row r="11" spans="1:1" ht="99.75" customHeight="1" x14ac:dyDescent="0.25">
      <c r="A11" s="37" t="s">
        <v>211</v>
      </c>
    </row>
    <row r="12" spans="1:1" ht="94.5" customHeight="1" x14ac:dyDescent="0.25">
      <c r="A12" s="37" t="s">
        <v>212</v>
      </c>
    </row>
    <row r="13" spans="1:1" ht="90" customHeight="1" x14ac:dyDescent="0.25">
      <c r="A13" s="37" t="s">
        <v>213</v>
      </c>
    </row>
    <row r="15" spans="1:1" ht="15" customHeight="1" x14ac:dyDescent="0.25">
      <c r="A15" s="3" t="s">
        <v>214</v>
      </c>
    </row>
    <row r="16" spans="1:1" ht="75" customHeight="1" x14ac:dyDescent="0.25">
      <c r="A16" s="37" t="s">
        <v>215</v>
      </c>
    </row>
    <row r="17" spans="1:1" ht="69.75" customHeight="1" x14ac:dyDescent="0.25">
      <c r="A17" s="37" t="s">
        <v>216</v>
      </c>
    </row>
    <row r="18" spans="1:1" ht="69.75" customHeight="1" x14ac:dyDescent="0.25">
      <c r="A18" s="37" t="s">
        <v>217</v>
      </c>
    </row>
    <row r="19" spans="1:1" ht="69.75" customHeight="1" x14ac:dyDescent="0.25">
      <c r="A19" s="37" t="s">
        <v>218</v>
      </c>
    </row>
    <row r="20" spans="1:1" ht="75" customHeight="1" x14ac:dyDescent="0.25">
      <c r="A20" s="37" t="s">
        <v>219</v>
      </c>
    </row>
    <row r="22" spans="1:1" ht="15" customHeight="1" x14ac:dyDescent="0.25">
      <c r="A22" s="3" t="s">
        <v>220</v>
      </c>
    </row>
    <row r="23" spans="1:1" ht="90" customHeight="1" x14ac:dyDescent="0.25">
      <c r="A23" s="37" t="s">
        <v>221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03_RAW_DATA</vt:lpstr>
      <vt:lpstr>04_ASSUMPTIONS</vt:lpstr>
      <vt:lpstr>05_ANALYSIS</vt:lpstr>
      <vt:lpstr>06_MODEL</vt:lpstr>
      <vt:lpstr>09_EXEC_RECOMMENDATION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Ezzat Mohammad Kutbi</cp:lastModifiedBy>
  <cp:revision>0</cp:revision>
  <dcterms:created xsi:type="dcterms:W3CDTF">2026-09-27T08:11:52Z</dcterms:created>
  <dcterms:modified xsi:type="dcterms:W3CDTF">2026-09-27T08:51:28Z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f1f596a-743a-4dd3-b241-b9e0042bcb64_Enabled">
    <vt:lpwstr>true</vt:lpwstr>
  </property>
  <property fmtid="{D5CDD505-2E9C-101B-9397-08002B2CF9AE}" pid="3" name="MSIP_Label_cf1f596a-743a-4dd3-b241-b9e0042bcb64_SetDate">
    <vt:lpwstr>2026-09-27T08:51:06Z</vt:lpwstr>
  </property>
  <property fmtid="{D5CDD505-2E9C-101B-9397-08002B2CF9AE}" pid="4" name="MSIP_Label_cf1f596a-743a-4dd3-b241-b9e0042bcb64_Method">
    <vt:lpwstr>Standard</vt:lpwstr>
  </property>
  <property fmtid="{D5CDD505-2E9C-101B-9397-08002B2CF9AE}" pid="5" name="MSIP_Label_cf1f596a-743a-4dd3-b241-b9e0042bcb64_Name">
    <vt:lpwstr>Public</vt:lpwstr>
  </property>
  <property fmtid="{D5CDD505-2E9C-101B-9397-08002B2CF9AE}" pid="6" name="MSIP_Label_cf1f596a-743a-4dd3-b241-b9e0042bcb64_SiteId">
    <vt:lpwstr>8c7c7c28-320f-4385-aa6b-19348f852df0</vt:lpwstr>
  </property>
  <property fmtid="{D5CDD505-2E9C-101B-9397-08002B2CF9AE}" pid="7" name="MSIP_Label_cf1f596a-743a-4dd3-b241-b9e0042bcb64_ActionId">
    <vt:lpwstr>ef1e35e4-3dc7-497c-85f2-7d9916b9c3de</vt:lpwstr>
  </property>
  <property fmtid="{D5CDD505-2E9C-101B-9397-08002B2CF9AE}" pid="8" name="MSIP_Label_cf1f596a-743a-4dd3-b241-b9e0042bcb64_ContentBits">
    <vt:lpwstr>0</vt:lpwstr>
  </property>
  <property fmtid="{D5CDD505-2E9C-101B-9397-08002B2CF9AE}" pid="9" name="MSIP_Label_cf1f596a-743a-4dd3-b241-b9e0042bcb64_Tag">
    <vt:lpwstr>10, 3, 0, 1</vt:lpwstr>
  </property>
</Properties>
</file>